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1602e85566439d" /></Relationships>
</file>

<file path=xl/workbook.xml><?xml version="1.0" encoding="utf-8"?>
<x:workbook xmlns:x="http://schemas.openxmlformats.org/spreadsheetml/2006/main">
  <x:sheets>
    <x:sheet xmlns:r="http://schemas.openxmlformats.org/officeDocument/2006/relationships" name="Resumen" sheetId="1" r:id="Rb6bb11c9e6ab44ca"/>
    <x:sheet xmlns:r="http://schemas.openxmlformats.org/officeDocument/2006/relationships" name="Inversión requerida" sheetId="2" r:id="Rc0cddea2bed544c0"/>
    <x:sheet xmlns:r="http://schemas.openxmlformats.org/officeDocument/2006/relationships" name="Costeo anual" sheetId="3" r:id="Re691d4f827b04326"/>
    <x:sheet xmlns:r="http://schemas.openxmlformats.org/officeDocument/2006/relationships" name="Supuestos" sheetId="4" r:id="R72805bb8539443d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4">
    <x:font>
      <x:sz val="11"/>
      <x:name val="Carlito"/>
    </x:font>
    <x:font>
      <x:b/>
      <x:sz val="15"/>
      <x:color rgb="FFFFFFFF"/>
      <x:name val="Carlito"/>
    </x:font>
    <x:font>
      <x:b/>
      <x:sz val="11"/>
      <x:color rgb="FFFFFFFF"/>
      <x:name val="Carlito"/>
    </x:font>
    <x:font>
      <x:b/>
      <x:sz val="11"/>
      <x:color rgb="FF0B3D91"/>
      <x:name val="Carlito"/>
    </x:font>
  </x:fonts>
  <x:fills count="6">
    <x:fill>
      <x:patternFill patternType="none"/>
    </x:fill>
    <x:fill>
      <x:patternFill patternType="gray125"/>
    </x:fill>
    <x:fill>
      <x:patternFill patternType="solid">
        <x:fgColor rgb="FF0B3D91"/>
      </x:patternFill>
    </x:fill>
    <x:fill>
      <x:patternFill patternType="solid">
        <x:fgColor rgb="FF0F5D73"/>
      </x:patternFill>
    </x:fill>
    <x:fill>
      <x:patternFill patternType="solid">
        <x:fgColor rgb="FFF8F9FA"/>
      </x:patternFill>
    </x:fill>
    <x:fill>
      <x:patternFill patternType="solid">
        <x:fgColor rgb="FFDDEBF7"/>
      </x:patternFill>
    </x:fill>
  </x:fills>
  <x:borders count="28">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right/>
      <x:top/>
      <x:bottom style="double">
        <x:color rgb="FF1F4E78"/>
      </x:bottom>
    </x:border>
    <x:border>
      <x:left/>
      <x:right/>
      <x:top/>
      <x:bottom style="double">
        <x:color rgb="FF1F4E78"/>
      </x:bottom>
    </x:border>
    <x:border>
      <x:left/>
      <x:top/>
      <x:bottom style="double">
        <x:color rgb="FF1F4E78"/>
      </x:bottom>
    </x:border>
    <x:border>
      <x:right/>
      <x:top/>
      <x:bottom style="double">
        <x:color rgb="FF1F4E78"/>
      </x:bottom>
    </x:border>
    <x:border>
      <x:left/>
      <x:right/>
      <x:top/>
      <x:bottom style="double">
        <x:color rgb="FF1F4E78"/>
      </x:bottom>
    </x:border>
    <x:border>
      <x:left/>
      <x:top/>
      <x:bottom style="double">
        <x:color rgb="FF1F4E78"/>
      </x:bottom>
    </x:border>
    <x:border>
      <x:left/>
      <x:right/>
      <x:top/>
      <x:bottom style="double">
        <x:color rgb="FF1F4E78"/>
      </x:bottom>
    </x:border>
    <x:border>
      <x:left/>
      <x:right/>
      <x:top/>
      <x:bottom style="double">
        <x:color rgb="FF1F4E78"/>
      </x:bottom>
    </x:border>
  </x:borders>
  <x:cellStyleXfs count="1">
    <x:xf numFmtId="0" fontId="0" fillId="0" borderId="0"/>
  </x:cellStyleXfs>
  <x:cellXfs count="1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0" borderId="5" xfId="0" applyNumberFormat="1" applyFont="1" applyFill="1" applyBorder="1" applyAlignment="1">
      <x:alignment horizontal="left" vertical="center" wrapText="1"/>
    </x:xf>
    <x:xf numFmtId="0" fontId="0" fillId="0" borderId="6" xfId="0" applyNumberFormat="1" applyFont="1" applyFill="1" applyBorder="1" applyAlignment="1">
      <x:alignment horizontal="center" vertical="center" wrapText="1"/>
    </x:xf>
    <x:xf numFmtId="0" fontId="0" fillId="0" borderId="7" xfId="0" applyNumberFormat="1" applyFont="1" applyFill="1" applyBorder="1" applyAlignment="1">
      <x:alignment horizontal="left" vertical="center" wrapText="1"/>
    </x:xf>
    <x:xf numFmtId="0" fontId="0" fillId="0" borderId="8" xfId="0" applyNumberFormat="1" applyFont="1" applyFill="1" applyBorder="1" applyAlignment="1">
      <x:alignment horizontal="left" vertical="center" wrapText="1"/>
    </x:xf>
    <x:xf numFmtId="0" fontId="0" fillId="0" borderId="9" xfId="0" applyNumberFormat="1" applyFont="1" applyFill="1" applyBorder="1" applyAlignment="1">
      <x:alignment horizontal="center" vertical="center" wrapText="1"/>
    </x:xf>
    <x:xf numFmtId="0" fontId="0" fillId="0" borderId="10" xfId="0" applyNumberFormat="1" applyFont="1" applyFill="1" applyBorder="1" applyAlignment="1">
      <x:alignment horizontal="left" vertical="center" wrapText="1"/>
    </x:xf>
    <x:xf numFmtId="0" fontId="2" fillId="3" borderId="11" xfId="0" applyNumberFormat="1" applyFont="1" applyFill="1" applyBorder="1" applyAlignment="1">
      <x:alignment horizontal="center" vertical="center" wrapText="1"/>
    </x:xf>
    <x:xf numFmtId="0" fontId="2" fillId="3" borderId="12" xfId="0" applyNumberFormat="1" applyFont="1" applyFill="1" applyBorder="1" applyAlignment="1">
      <x:alignment horizontal="center" vertical="center" wrapText="1"/>
    </x:xf>
    <x:xf numFmtId="0" fontId="2" fillId="3" borderId="13" xfId="0" applyNumberFormat="1" applyFont="1" applyFill="1" applyBorder="1" applyAlignment="1">
      <x:alignment horizontal="center" vertical="center" wrapText="1"/>
    </x:xf>
    <x:xf numFmtId="0" fontId="0" fillId="0" borderId="14" xfId="0" applyNumberFormat="1" applyFont="1" applyFill="1" applyBorder="1" applyAlignment="1">
      <x:alignment horizontal="left" vertical="center" wrapText="1"/>
    </x:xf>
    <x:xf numFmtId="0" fontId="0" fillId="0" borderId="15" xfId="0" applyNumberFormat="1" applyFont="1" applyFill="1" applyBorder="1" applyAlignment="1">
      <x:alignment horizontal="center" vertical="center" wrapText="1"/>
    </x:xf>
    <x:xf numFmtId="0" fontId="0" fillId="0" borderId="16" xfId="0" applyNumberFormat="1" applyFont="1" applyFill="1" applyBorder="1" applyAlignment="1">
      <x:alignment horizontal="left" vertical="center" wrapText="1"/>
    </x:xf>
    <x:xf numFmtId="0" fontId="0" fillId="0" borderId="17" xfId="0" applyNumberFormat="1" applyFont="1" applyFill="1" applyBorder="1" applyAlignment="1">
      <x:alignment horizontal="left" vertical="center" wrapText="1"/>
    </x:xf>
    <x:xf numFmtId="0" fontId="0" fillId="0" borderId="18" xfId="0" applyNumberFormat="1" applyFont="1" applyFill="1" applyBorder="1" applyAlignment="1">
      <x:alignment horizontal="center" vertical="center" wrapText="1"/>
    </x:xf>
    <x:xf numFmtId="0" fontId="0" fillId="0" borderId="19" xfId="0" applyNumberFormat="1" applyFont="1" applyFill="1" applyBorder="1" applyAlignment="1">
      <x:alignment horizontal="left" vertical="center" wrapText="1"/>
    </x:xf>
    <x:xf numFmtId="200" fontId="0" fillId="0" borderId="6"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4" xfId="0" applyNumberFormat="1" applyFont="1" applyFill="1" applyBorder="1" applyAlignment="1">
      <x:alignment vertical="top" wrapText="1"/>
    </x:xf>
    <x:xf numFmtId="0" fontId="0" fillId="4" borderId="15" xfId="0" applyNumberFormat="1" applyFont="1" applyFill="1" applyBorder="1" applyAlignment="1">
      <x:alignment vertical="top" wrapText="1"/>
    </x:xf>
    <x:xf numFmtId="0" fontId="0" fillId="4" borderId="16" xfId="0" applyNumberFormat="1" applyFont="1" applyFill="1" applyBorder="1" applyAlignment="1">
      <x:alignment vertical="top" wrapText="1"/>
    </x:xf>
    <x:xf numFmtId="0" fontId="0" fillId="4" borderId="17" xfId="0" applyNumberFormat="1" applyFont="1" applyFill="1" applyBorder="1" applyAlignment="1">
      <x:alignment vertical="top" wrapText="1"/>
    </x:xf>
    <x:xf numFmtId="0" fontId="0" fillId="4" borderId="18" xfId="0" applyNumberFormat="1" applyFont="1" applyFill="1" applyBorder="1" applyAlignment="1">
      <x:alignment vertical="top" wrapText="1"/>
    </x:xf>
    <x:xf numFmtId="0" fontId="0" fillId="4" borderId="19" xfId="0" applyNumberFormat="1" applyFont="1" applyFill="1" applyBorder="1" applyAlignment="1">
      <x:alignment vertical="top" wrapText="1"/>
    </x:xf>
    <x:xf numFmtId="200" fontId="0" fillId="0" borderId="0"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0" fontId="0" fillId="0" borderId="6" xfId="0" applyNumberFormat="1" applyFont="1" applyFill="1" applyBorder="1" applyAlignment="1">
      <x:alignment horizontal="left" vertical="center" wrapText="1"/>
    </x:xf>
    <x:xf numFmtId="0" fontId="0" fillId="0" borderId="9" xfId="0" applyNumberFormat="1" applyFont="1" applyFill="1" applyBorder="1" applyAlignment="1">
      <x:alignment horizontal="left" vertical="center" wrapText="1"/>
    </x:xf>
    <x:xf numFmtId="0" fontId="0" fillId="0" borderId="15" xfId="0" applyNumberFormat="1" applyFont="1" applyFill="1" applyBorder="1" applyAlignment="1">
      <x:alignment horizontal="left" vertical="center" wrapText="1"/>
    </x:xf>
    <x:xf numFmtId="0" fontId="0" fillId="0" borderId="18" xfId="0" applyNumberFormat="1" applyFont="1" applyFill="1" applyBorder="1" applyAlignment="1">
      <x:alignment horizontal="left" vertical="center" wrapText="1"/>
    </x:xf>
    <x:xf numFmtId="0" fontId="0" fillId="5" borderId="0" xfId="0" applyNumberFormat="1" applyFont="1" applyFill="1" applyBorder="1"/>
    <x:xf numFmtId="0" fontId="3" fillId="5" borderId="0" xfId="0" applyNumberFormat="1" applyFont="1" applyFill="1" applyBorder="1"/>
    <x:xf numFmtId="0" fontId="3" fillId="5" borderId="20" xfId="0" applyNumberFormat="1" applyFont="1" applyFill="1" applyBorder="1"/>
    <x:xf numFmtId="0" fontId="3" fillId="5" borderId="21" xfId="0" applyNumberFormat="1" applyFont="1" applyFill="1" applyBorder="1"/>
    <x:xf numFmtId="0" fontId="3" fillId="5" borderId="22" xfId="0" applyNumberFormat="1" applyFont="1" applyFill="1" applyBorder="1"/>
    <x:xf numFmtId="0" fontId="3" fillId="5" borderId="20" xfId="0" applyNumberFormat="1" applyFont="1" applyFill="1" applyBorder="1" applyAlignment="1">
      <x:alignment horizontal="center"/>
    </x:xf>
    <x:xf numFmtId="0" fontId="3" fillId="5" borderId="21" xfId="0" applyNumberFormat="1" applyFont="1" applyFill="1" applyBorder="1" applyAlignment="1">
      <x:alignment horizontal="center"/>
    </x:xf>
    <x:xf numFmtId="0" fontId="3" fillId="5" borderId="22" xfId="0" applyNumberFormat="1" applyFont="1" applyFill="1" applyBorder="1" applyAlignment="1">
      <x:alignment horizontal="center"/>
    </x:xf>
    <x:xf numFmtId="0" fontId="3" fillId="5" borderId="20" xfId="0" applyNumberFormat="1" applyFont="1" applyFill="1" applyBorder="1" applyAlignment="1">
      <x:alignment horizontal="center" vertical="center"/>
    </x:xf>
    <x:xf numFmtId="0" fontId="3" fillId="5" borderId="21" xfId="0" applyNumberFormat="1" applyFont="1" applyFill="1" applyBorder="1" applyAlignment="1">
      <x:alignment horizontal="center" vertical="center"/>
    </x:xf>
    <x:xf numFmtId="0" fontId="3" fillId="5" borderId="22"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23" xfId="0" applyNumberFormat="1" applyFont="1" applyFill="1" applyBorder="1"/>
    <x:xf numFmtId="0" fontId="3" fillId="5" borderId="24" xfId="0" applyNumberFormat="1" applyFont="1" applyFill="1" applyBorder="1"/>
    <x:xf numFmtId="0" fontId="3" fillId="5" borderId="25" xfId="0" applyNumberFormat="1" applyFont="1" applyFill="1" applyBorder="1"/>
    <x:xf numFmtId="0" fontId="3" fillId="5" borderId="23" xfId="0" applyNumberFormat="1" applyFont="1" applyFill="1" applyBorder="1" applyAlignment="1">
      <x:alignment horizontal="center"/>
    </x:xf>
    <x:xf numFmtId="0" fontId="3" fillId="5" borderId="24" xfId="0" applyNumberFormat="1" applyFont="1" applyFill="1" applyBorder="1" applyAlignment="1">
      <x:alignment horizontal="center"/>
    </x:xf>
    <x:xf numFmtId="0" fontId="3" fillId="5" borderId="25" xfId="0" applyNumberFormat="1" applyFont="1" applyFill="1" applyBorder="1" applyAlignment="1">
      <x:alignment horizontal="center"/>
    </x:xf>
    <x:xf numFmtId="0" fontId="3" fillId="5" borderId="23" xfId="0" applyNumberFormat="1" applyFont="1" applyFill="1" applyBorder="1" applyAlignment="1">
      <x:alignment horizontal="center" vertical="center"/>
    </x:xf>
    <x:xf numFmtId="0" fontId="3" fillId="5" borderId="24" xfId="0" applyNumberFormat="1" applyFont="1" applyFill="1" applyBorder="1" applyAlignment="1">
      <x:alignment horizontal="center" vertical="center"/>
    </x:xf>
    <x:xf numFmtId="0" fontId="3" fillId="5" borderId="25" xfId="0" applyNumberFormat="1" applyFont="1" applyFill="1" applyBorder="1" applyAlignment="1">
      <x:alignment horizontal="center" vertical="center"/>
    </x:xf>
    <x:xf numFmtId="200" fontId="3" fillId="5" borderId="21" xfId="0" applyNumberFormat="1" applyFont="1" applyFill="1" applyBorder="1" applyAlignment="1">
      <x:alignment horizontal="center" vertical="center"/>
    </x:xf>
    <x:xf numFmtId="200" fontId="3" fillId="5" borderId="24" xfId="0" applyNumberFormat="1" applyFont="1" applyFill="1" applyBorder="1" applyAlignment="1">
      <x:alignment horizontal="center" vertical="center"/>
    </x:xf>
    <x:xf numFmtId="0" fontId="3" fillId="5" borderId="0" xfId="0" applyNumberFormat="1" applyFont="1" applyFill="1" applyBorder="1" applyAlignment="1">
      <x:alignment horizontal="left"/>
    </x:xf>
    <x:xf numFmtId="0" fontId="3" fillId="5" borderId="0" xfId="0" applyNumberFormat="1" applyFont="1" applyFill="1" applyBorder="1" applyAlignment="1">
      <x:alignment horizontal="left" vertical="center"/>
    </x:xf>
    <x:xf numFmtId="0" fontId="3" fillId="5" borderId="1" xfId="0" applyNumberFormat="1" applyFont="1" applyFill="1" applyBorder="1" applyAlignment="1">
      <x:alignment horizontal="left"/>
    </x:xf>
    <x:xf numFmtId="0" fontId="3" fillId="5" borderId="1" xfId="0" applyNumberFormat="1" applyFont="1" applyFill="1" applyBorder="1" applyAlignment="1">
      <x:alignment horizontal="left" vertical="center"/>
    </x:xf>
    <x:xf numFmtId="201" fontId="0" fillId="0" borderId="0" xfId="0" applyNumberFormat="1" applyFont="1" applyFill="1" applyBorder="1" applyAlignment="1">
      <x:alignment horizontal="center" vertical="center" wrapText="1"/>
    </x:xf>
    <x:xf numFmtId="201" fontId="0" fillId="0" borderId="1" xfId="0" applyNumberFormat="1" applyFont="1" applyFill="1" applyBorder="1" applyAlignment="1">
      <x:alignment horizontal="center" vertical="center" wrapText="1"/>
    </x:xf>
    <x:xf numFmtId="201" fontId="0" fillId="0" borderId="6" xfId="0" applyNumberFormat="1" applyFont="1" applyFill="1" applyBorder="1" applyAlignment="1">
      <x:alignment horizontal="center" vertical="center" wrapText="1"/>
    </x:xf>
    <x:xf numFmtId="201" fontId="0" fillId="0" borderId="7" xfId="0" applyNumberFormat="1" applyFont="1" applyFill="1" applyBorder="1" applyAlignment="1">
      <x:alignment horizontal="center" vertical="center" wrapText="1"/>
    </x:xf>
    <x:xf numFmtId="201" fontId="0" fillId="0" borderId="9" xfId="0" applyNumberFormat="1" applyFont="1" applyFill="1" applyBorder="1" applyAlignment="1">
      <x:alignment horizontal="center" vertical="center" wrapText="1"/>
    </x:xf>
    <x:xf numFmtId="201" fontId="0" fillId="0" borderId="10" xfId="0" applyNumberFormat="1" applyFont="1" applyFill="1" applyBorder="1" applyAlignment="1">
      <x:alignment horizontal="center" vertical="center" wrapText="1"/>
    </x:xf>
    <x:xf numFmtId="201" fontId="0" fillId="0" borderId="15" xfId="0" applyNumberFormat="1" applyFont="1" applyFill="1" applyBorder="1" applyAlignment="1">
      <x:alignment horizontal="center" vertical="center" wrapText="1"/>
    </x:xf>
    <x:xf numFmtId="201" fontId="0" fillId="0" borderId="16" xfId="0" applyNumberFormat="1" applyFont="1" applyFill="1" applyBorder="1" applyAlignment="1">
      <x:alignment horizontal="center" vertical="center" wrapText="1"/>
    </x:xf>
    <x:xf numFmtId="201" fontId="0" fillId="0" borderId="18" xfId="0" applyNumberFormat="1" applyFont="1" applyFill="1" applyBorder="1" applyAlignment="1">
      <x:alignment horizontal="center" vertical="center" wrapText="1"/>
    </x:xf>
    <x:xf numFmtId="201" fontId="0" fillId="0" borderId="19" xfId="0" applyNumberFormat="1" applyFont="1" applyFill="1" applyBorder="1" applyAlignment="1">
      <x:alignment horizontal="center" vertical="center" wrapText="1"/>
    </x:xf>
    <x:xf numFmtId="201" fontId="3" fillId="5" borderId="22" xfId="0" applyNumberFormat="1" applyFont="1" applyFill="1" applyBorder="1" applyAlignment="1">
      <x:alignment horizontal="center" vertical="center"/>
    </x:xf>
    <x:xf numFmtId="201" fontId="3" fillId="5" borderId="25" xfId="0" applyNumberFormat="1" applyFont="1" applyFill="1" applyBorder="1" applyAlignment="1">
      <x:alignment horizontal="center" vertical="center"/>
    </x:xf>
    <x:xf numFmtId="202" fontId="0" fillId="0" borderId="0" xfId="0" applyNumberFormat="1" applyFont="1" applyFill="1" applyBorder="1" applyAlignment="1">
      <x:alignment horizontal="center" vertical="center" wrapText="1"/>
    </x:xf>
    <x:xf numFmtId="202" fontId="0" fillId="0" borderId="1" xfId="0" applyNumberFormat="1" applyFont="1" applyFill="1" applyBorder="1" applyAlignment="1">
      <x:alignment horizontal="center" vertical="center" wrapText="1"/>
    </x:xf>
    <x:xf numFmtId="202" fontId="0" fillId="0" borderId="6" xfId="0" applyNumberFormat="1" applyFont="1" applyFill="1" applyBorder="1" applyAlignment="1">
      <x:alignment horizontal="center" vertical="center" wrapText="1"/>
    </x:xf>
    <x:xf numFmtId="202" fontId="0" fillId="0" borderId="9" xfId="0" applyNumberFormat="1" applyFont="1" applyFill="1" applyBorder="1" applyAlignment="1">
      <x:alignment horizontal="center" vertical="center" wrapText="1"/>
    </x:xf>
    <x:xf numFmtId="202" fontId="0" fillId="0" borderId="15" xfId="0" applyNumberFormat="1" applyFont="1" applyFill="1" applyBorder="1" applyAlignment="1">
      <x:alignment horizontal="center" vertical="center" wrapText="1"/>
    </x:xf>
    <x:xf numFmtId="202" fontId="0" fillId="0" borderId="18" xfId="0" applyNumberFormat="1" applyFont="1" applyFill="1" applyBorder="1" applyAlignment="1">
      <x:alignment horizontal="center" vertical="center" wrapText="1"/>
    </x:xf>
    <x:xf numFmtId="0" fontId="0" fillId="5" borderId="8" xfId="0" applyNumberFormat="1" applyFont="1" applyFill="1" applyBorder="1" applyAlignment="1">
      <x:alignment horizontal="left" vertical="center" wrapText="1"/>
    </x:xf>
    <x:xf numFmtId="201" fontId="0" fillId="5" borderId="9" xfId="0" applyNumberFormat="1" applyFont="1" applyFill="1" applyBorder="1" applyAlignment="1">
      <x:alignment horizontal="center" vertical="center" wrapText="1"/>
    </x:xf>
    <x:xf numFmtId="202" fontId="0" fillId="5" borderId="9" xfId="0" applyNumberFormat="1" applyFont="1" applyFill="1" applyBorder="1" applyAlignment="1">
      <x:alignment horizontal="center" vertical="center" wrapText="1"/>
    </x:xf>
    <x:xf numFmtId="0" fontId="0" fillId="5" borderId="10" xfId="0" applyNumberFormat="1" applyFont="1" applyFill="1" applyBorder="1" applyAlignment="1">
      <x:alignment horizontal="left" vertical="center" wrapText="1"/>
    </x:xf>
    <x:xf numFmtId="0" fontId="3" fillId="5" borderId="8" xfId="0" applyNumberFormat="1" applyFont="1" applyFill="1" applyBorder="1" applyAlignment="1">
      <x:alignment horizontal="left" vertical="center" wrapText="1"/>
    </x:xf>
    <x:xf numFmtId="201" fontId="3" fillId="5" borderId="9" xfId="0" applyNumberFormat="1" applyFont="1" applyFill="1" applyBorder="1" applyAlignment="1">
      <x:alignment horizontal="center" vertical="center" wrapText="1"/>
    </x:xf>
    <x:xf numFmtId="202" fontId="3" fillId="5" borderId="9" xfId="0" applyNumberFormat="1" applyFont="1" applyFill="1" applyBorder="1" applyAlignment="1">
      <x:alignment horizontal="center" vertical="center" wrapText="1"/>
    </x:xf>
    <x:xf numFmtId="0" fontId="3" fillId="5" borderId="10" xfId="0" applyNumberFormat="1" applyFont="1" applyFill="1" applyBorder="1" applyAlignment="1">
      <x:alignment horizontal="left" vertical="center" wrapText="1"/>
    </x:xf>
    <x:xf numFmtId="0" fontId="3" fillId="5" borderId="26" xfId="0" applyNumberFormat="1" applyFont="1" applyFill="1" applyBorder="1" applyAlignment="1">
      <x:alignment horizontal="left" vertical="center" wrapText="1"/>
    </x:xf>
    <x:xf numFmtId="201" fontId="3" fillId="5" borderId="21" xfId="0" applyNumberFormat="1" applyFont="1" applyFill="1" applyBorder="1" applyAlignment="1">
      <x:alignment horizontal="center" vertical="center" wrapText="1"/>
    </x:xf>
    <x:xf numFmtId="202" fontId="3" fillId="5" borderId="21" xfId="0" applyNumberFormat="1" applyFont="1" applyFill="1" applyBorder="1" applyAlignment="1">
      <x:alignment horizontal="center" vertical="center" wrapText="1"/>
    </x:xf>
    <x:xf numFmtId="0" fontId="3" fillId="5" borderId="21" xfId="0" applyNumberFormat="1" applyFont="1" applyFill="1" applyBorder="1" applyAlignment="1">
      <x:alignment horizontal="left" vertical="center" wrapText="1"/>
    </x:xf>
    <x:xf numFmtId="0" fontId="3" fillId="5" borderId="26" xfId="0" applyNumberFormat="1" applyFont="1" applyFill="1" applyBorder="1" applyAlignment="1">
      <x:alignment horizontal="center" vertical="center" wrapText="1"/>
    </x:xf>
    <x:xf numFmtId="0" fontId="3" fillId="5" borderId="21" xfId="0" applyNumberFormat="1" applyFont="1" applyFill="1" applyBorder="1" applyAlignment="1">
      <x:alignment horizontal="center" vertical="center" wrapText="1"/>
    </x:xf>
    <x:xf numFmtId="0" fontId="0" fillId="5" borderId="17" xfId="0" applyNumberFormat="1" applyFont="1" applyFill="1" applyBorder="1" applyAlignment="1">
      <x:alignment horizontal="left" vertical="center" wrapText="1"/>
    </x:xf>
    <x:xf numFmtId="201" fontId="0" fillId="5" borderId="18" xfId="0" applyNumberFormat="1" applyFont="1" applyFill="1" applyBorder="1" applyAlignment="1">
      <x:alignment horizontal="center" vertical="center" wrapText="1"/>
    </x:xf>
    <x:xf numFmtId="202" fontId="0" fillId="5" borderId="18" xfId="0" applyNumberFormat="1" applyFont="1" applyFill="1" applyBorder="1" applyAlignment="1">
      <x:alignment horizontal="center" vertical="center" wrapText="1"/>
    </x:xf>
    <x:xf numFmtId="0" fontId="0" fillId="5" borderId="19" xfId="0" applyNumberFormat="1" applyFont="1" applyFill="1" applyBorder="1" applyAlignment="1">
      <x:alignment horizontal="left" vertical="center" wrapText="1"/>
    </x:xf>
    <x:xf numFmtId="0" fontId="3" fillId="5" borderId="17" xfId="0" applyNumberFormat="1" applyFont="1" applyFill="1" applyBorder="1" applyAlignment="1">
      <x:alignment horizontal="left" vertical="center" wrapText="1"/>
    </x:xf>
    <x:xf numFmtId="201" fontId="3" fillId="5" borderId="18" xfId="0" applyNumberFormat="1" applyFont="1" applyFill="1" applyBorder="1" applyAlignment="1">
      <x:alignment horizontal="center" vertical="center" wrapText="1"/>
    </x:xf>
    <x:xf numFmtId="202" fontId="3" fillId="5" borderId="18" xfId="0" applyNumberFormat="1" applyFont="1" applyFill="1" applyBorder="1" applyAlignment="1">
      <x:alignment horizontal="center" vertical="center" wrapText="1"/>
    </x:xf>
    <x:xf numFmtId="0" fontId="3" fillId="5" borderId="19" xfId="0" applyNumberFormat="1" applyFont="1" applyFill="1" applyBorder="1" applyAlignment="1">
      <x:alignment horizontal="left" vertical="center" wrapText="1"/>
    </x:xf>
    <x:xf numFmtId="0" fontId="3" fillId="5" borderId="27" xfId="0" applyNumberFormat="1" applyFont="1" applyFill="1" applyBorder="1" applyAlignment="1">
      <x:alignment horizontal="left" vertical="center" wrapText="1"/>
    </x:xf>
    <x:xf numFmtId="201" fontId="3" fillId="5" borderId="24" xfId="0" applyNumberFormat="1" applyFont="1" applyFill="1" applyBorder="1" applyAlignment="1">
      <x:alignment horizontal="center" vertical="center" wrapText="1"/>
    </x:xf>
    <x:xf numFmtId="202" fontId="3" fillId="5" borderId="24" xfId="0" applyNumberFormat="1" applyFont="1" applyFill="1" applyBorder="1" applyAlignment="1">
      <x:alignment horizontal="center" vertical="center" wrapText="1"/>
    </x:xf>
    <x:xf numFmtId="0" fontId="3" fillId="5" borderId="24" xfId="0" applyNumberFormat="1" applyFont="1" applyFill="1" applyBorder="1" applyAlignment="1">
      <x:alignment horizontal="left" vertical="center" wrapText="1"/>
    </x:xf>
    <x:xf numFmtId="0" fontId="3" fillId="5" borderId="27" xfId="0" applyNumberFormat="1" applyFont="1" applyFill="1" applyBorder="1" applyAlignment="1">
      <x:alignment horizontal="center" vertical="center" wrapText="1"/>
    </x:xf>
    <x:xf numFmtId="0" fontId="3" fillId="5" borderId="24" xfId="0" applyNumberFormat="1" applyFont="1" applyFill="1" applyBorder="1" applyAlignment="1">
      <x:alignment horizontal="center" vertical="center" wrapText="1"/>
    </x:xf>
    <x:xf numFmtId="0" fontId="0" fillId="0" borderId="7" xfId="0" applyNumberFormat="1" applyFont="1" applyFill="1" applyBorder="1" applyAlignment="1">
      <x:alignment horizontal="center" vertical="center" wrapText="1"/>
    </x:xf>
    <x:xf numFmtId="0" fontId="0" fillId="0" borderId="10"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xf numFmtId="0" fontId="0" fillId="0" borderId="19" xfId="0" applyNumberFormat="1" applyFont="1" applyFill="1" applyBorder="1" applyAlignment="1">
      <x:alignment horizontal="center" vertical="center" wrapText="1"/>
    </x:xf>
    <x:xf numFmtId="0" fontId="0" fillId="5" borderId="10" xfId="0" applyNumberFormat="1" applyFont="1" applyFill="1" applyBorder="1" applyAlignment="1">
      <x:alignment horizontal="center" vertical="center" wrapText="1"/>
    </x:xf>
    <x:xf numFmtId="0" fontId="3" fillId="5" borderId="10" xfId="0" applyNumberFormat="1" applyFont="1" applyFill="1" applyBorder="1" applyAlignment="1">
      <x:alignment horizontal="center" vertical="center" wrapText="1"/>
    </x:xf>
    <x:xf numFmtId="0" fontId="0" fillId="5" borderId="19" xfId="0" applyNumberFormat="1" applyFont="1" applyFill="1" applyBorder="1" applyAlignment="1">
      <x:alignment horizontal="center" vertical="center" wrapText="1"/>
    </x:xf>
    <x:xf numFmtId="0" fontId="3" fillId="5" borderId="19" xfId="0" applyNumberFormat="1" applyFont="1" applyFill="1" applyBorder="1" applyAlignment="1">
      <x:alignment horizontal="center" vertical="center" wrapText="1"/>
    </x:xf>
    <x:xf numFmtId="200" fontId="0" fillId="0" borderId="7"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6"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0f0628ef9b4713" /><Relationship Type="http://schemas.openxmlformats.org/officeDocument/2006/relationships/theme" Target="/xl/theme/theme1.xml" Id="R7396c9c3b9214adf" /><Relationship Type="http://schemas.openxmlformats.org/officeDocument/2006/relationships/sharedStrings" Target="/xl/sharedStrings.xml" Id="Rda14e25bed89446f" /><Relationship Type="http://schemas.openxmlformats.org/officeDocument/2006/relationships/worksheet" Target="/xl/worksheets/sheet1.xml" Id="Rb6bb11c9e6ab44ca" /><Relationship Type="http://schemas.openxmlformats.org/officeDocument/2006/relationships/worksheet" Target="/xl/worksheets/sheet2.xml" Id="Rc0cddea2bed544c0" /><Relationship Type="http://schemas.openxmlformats.org/officeDocument/2006/relationships/worksheet" Target="/xl/worksheets/sheet3.xml" Id="Re691d4f827b04326" /><Relationship Type="http://schemas.openxmlformats.org/officeDocument/2006/relationships/worksheet" Target="/xl/worksheets/sheet4.xml" Id="R72805bb8539443d6"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c5684f5a9340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Resumen económico</a:t>
            </a:r>
          </a:p>
        </c:rich>
      </c:tx>
      <c:overlay val="0"/>
    </c:title>
    <c:autoTitleDeleted val="0"/>
    <c:plotArea>
      <c:layout/>
      <c:barChart>
        <c:barDir val="col"/>
        <c:varyColors val="0"/>
        <c:ser>
          <c:idx val="0"/>
          <c:order val="0"/>
          <c:tx>
            <c:v>Series 1</c:v>
          </c:tx>
          <c:cat>
            <c:strRef>
              <c:f>'Resumen'!$A$5:$A$8</c:f>
              <c:strCache>
                <c:ptCount val="0"/>
              </c:strCache>
            </c:strRef>
          </c:cat>
          <c:val>
            <c:numRef>
              <c:f>'Resumen'!$B$5:$B$8</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9</xdr:row>
      <xdr:rowOff>0</xdr:rowOff>
    </xdr:from>
    <xdr:to>
      <xdr:col>12</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c5684f5a93403b"/>
        </a:graphicData>
      </a:graphic>
    </xdr:graphicFrame>
    <xdr:clientData/>
  </xdr:twoCellAnchor>
</xdr:wsDr>
</file>

<file path=xl/tables/table1.xml><?xml version="1.0" encoding="utf-8"?>
<x:table xmlns:x="http://schemas.openxmlformats.org/spreadsheetml/2006/main" id="5" name="TablaResumenEconomico" displayName="TablaResumenEconomico" ref="A4:C8" headerRowCount="1">
  <x:tableColumns count="3">
    <x:tableColumn id="1" name="Concepto"/>
    <x:tableColumn id="2" name="Valor"/>
    <x:tableColumn id="3" name="Unidad"/>
  </x:tableColumns>
  <x:tableStyleInfo name="TableStyleMedium2" showRowStripes="1"/>
</x:table>
</file>

<file path=xl/tables/table2.xml><?xml version="1.0" encoding="utf-8"?>
<x:table xmlns:x="http://schemas.openxmlformats.org/spreadsheetml/2006/main" id="4" name="TablaInversion" displayName="TablaInversion" ref="A4:E6" headerRowCount="1">
  <x:tableColumns count="5">
    <x:tableColumn id="1" name="Concepto"/>
    <x:tableColumn id="2" name="Valor [USD]"/>
    <x:tableColumn id="3" name="Criterio"/>
    <x:tableColumn id="4" name="Se usa para inversión"/>
    <x:tableColumn id="5" name="Observación"/>
  </x:tableColumns>
  <x:tableStyleInfo name="TableStyleMedium2" showRowStripes="1"/>
</x:table>
</file>

<file path=xl/tables/table3.xml><?xml version="1.0" encoding="utf-8"?>
<x:table xmlns:x="http://schemas.openxmlformats.org/spreadsheetml/2006/main" id="1" name="TablaMateriasPrimas" displayName="TablaMateriasPrimas" ref="A5:G8" headerRowCount="1">
  <x:tableColumns count="7">
    <x:tableColumn id="1" name="Materia prima"/>
    <x:tableColumn id="2" name="Proveedor"/>
    <x:tableColumn id="3" name="Cantidad"/>
    <x:tableColumn id="4" name="Unidad cantidad"/>
    <x:tableColumn id="5" name="Precio unitario"/>
    <x:tableColumn id="6" name="Unidad precio"/>
    <x:tableColumn id="7" name="Costo anual [USD/año]"/>
  </x:tableColumns>
  <x:tableStyleInfo name="TableStyleMedium2" showRowStripes="1"/>
</x:table>
</file>

<file path=xl/tables/table4.xml><?xml version="1.0" encoding="utf-8"?>
<x:table xmlns:x="http://schemas.openxmlformats.org/spreadsheetml/2006/main" id="2" name="TablaServiciosAuxiliares" displayName="TablaServiciosAuxiliares" ref="A13:G17" headerRowCount="1">
  <x:tableColumns count="7">
    <x:tableColumn id="1" name="Servicio auxiliar"/>
    <x:tableColumn id="2" name="Costo horario"/>
    <x:tableColumn id="3" name="Unidad"/>
    <x:tableColumn id="4" name="Horas/año"/>
    <x:tableColumn id="5" name="Fuente horas"/>
    <x:tableColumn id="6" name="Costo anual [USD/año]"/>
    <x:tableColumn id="7" name="Comentario"/>
  </x:tableColumns>
  <x:tableStyleInfo name="TableStyleMedium2" showRowStripes="1"/>
</x:table>
</file>

<file path=xl/tables/table5.xml><?xml version="1.0" encoding="utf-8"?>
<x:table xmlns:x="http://schemas.openxmlformats.org/spreadsheetml/2006/main" id="3" name="TablaCosteoTotal" displayName="TablaCosteoTotal" ref="A22:D25" headerRowCount="1">
  <x:tableColumns count="4">
    <x:tableColumn id="1" name="Concepto"/>
    <x:tableColumn id="2" name="Valor [USD/año]"/>
    <x:tableColumn id="3" name="Porcentaje del total"/>
    <x:tableColumn id="4" name="Comentari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f868dc449344624" /><Relationship Type="http://schemas.openxmlformats.org/officeDocument/2006/relationships/table" Target="/xl/tables/table1.xml" Id="R03d08fe8811e41e4" /></Relationships>
</file>

<file path=xl/worksheets/_rels/sheet2.xml.rels>&#65279;<?xml version="1.0" encoding="utf-8"?><Relationships xmlns="http://schemas.openxmlformats.org/package/2006/relationships"><Relationship Type="http://schemas.openxmlformats.org/officeDocument/2006/relationships/table" Target="/xl/tables/table2.xml" Id="R6e921301ad2f4a4e" /></Relationships>
</file>

<file path=xl/worksheets/_rels/sheet3.xml.rels>&#65279;<?xml version="1.0" encoding="utf-8"?><Relationships xmlns="http://schemas.openxmlformats.org/package/2006/relationships"><Relationship Type="http://schemas.openxmlformats.org/officeDocument/2006/relationships/table" Target="/xl/tables/table3.xml" Id="R2c78f15946a54079" /><Relationship Type="http://schemas.openxmlformats.org/officeDocument/2006/relationships/table" Target="/xl/tables/table4.xml" Id="R2c128125da54460e" /><Relationship Type="http://schemas.openxmlformats.org/officeDocument/2006/relationships/table" Target="/xl/tables/table5.xml" Id="Rf8a138692b574f55" /></Relationships>
</file>

<file path=xl/worksheets/sheet1.xml><?xml version="1.0" encoding="utf-8"?>
<x:worksheet xmlns:x="http://schemas.openxmlformats.org/spreadsheetml/2006/main">
  <x:sheetFormatPr defaultRowHeight="15"/>
  <x:cols>
    <x:col min="1" max="1" width="38" hidden="0" customWidth="1"/>
    <x:col min="2" max="2" width="22" hidden="0" customWidth="1"/>
    <x:col min="3" max="3" width="16" hidden="0" customWidth="1"/>
    <x:col min="4" max="4" width="4" hidden="0" customWidth="1"/>
    <x:col min="5" max="5" width="24" hidden="0" customWidth="1"/>
    <x:col min="6" max="6" width="16" hidden="0" customWidth="1"/>
  </x:cols>
  <x:sheetData>
    <x:row r="1">
      <x:c r="A1" s="5" t="str">
        <x:v>Resumen económico — Planta de anilina</x:v>
      </x:c>
      <x:c r="B1" s="5"/>
      <x:c r="C1" s="5"/>
      <x:c r="D1" s="5"/>
      <x:c r="E1" s="5"/>
      <x:c r="F1" s="5"/>
    </x:row>
    <x:row r="2">
      <x:c r="A2" s="5"/>
      <x:c r="B2" s="5"/>
      <x:c r="C2" s="5"/>
      <x:c r="D2" s="5"/>
      <x:c r="E2" s="5"/>
      <x:c r="F2" s="5"/>
    </x:row>
    <x:row r="4">
      <x:c r="A4" s="28" t="str">
        <x:v>Concepto</x:v>
      </x:c>
      <x:c r="B4" s="29" t="str">
        <x:v>Valor</x:v>
      </x:c>
      <x:c r="C4" s="30" t="str">
        <x:v>Unidad</x:v>
      </x:c>
      <x:c r="E4" s="28" t="str">
        <x:v>Base de operación</x:v>
      </x:c>
      <x:c r="F4" s="30" t="str">
        <x:v>Valor</x:v>
      </x:c>
    </x:row>
    <x:row r="5">
      <x:c r="A5" s="31" t="str">
        <x:v>Inversión total requerida</x:v>
      </x:c>
      <x:c r="B5" s="104" t="n">
        <x:f>'Inversión requerida'!C10</x:f>
        <x:v>4070400</x:v>
      </x:c>
      <x:c r="C5" s="148" t="str">
        <x:v>USD</x:v>
      </x:c>
      <x:c r="E5" s="31" t="str">
        <x:v>Días/año</x:v>
      </x:c>
      <x:c r="F5" s="156" t="n">
        <x:f>'Supuestos'!B5</x:f>
        <x:v>350</x:v>
      </x:c>
    </x:row>
    <x:row r="6">
      <x:c r="A6" s="31" t="str">
        <x:v>Costo anual de materias primas</x:v>
      </x:c>
      <x:c r="B6" s="104" t="n">
        <x:f>'Costeo anual'!B23</x:f>
        <x:v>57161700</x:v>
      </x:c>
      <x:c r="C6" s="148" t="str">
        <x:v>USD/año</x:v>
      </x:c>
      <x:c r="E6" s="31" t="str">
        <x:v>Horas/día</x:v>
      </x:c>
      <x:c r="F6" s="156" t="n">
        <x:f>'Supuestos'!B6</x:f>
        <x:v>24</x:v>
      </x:c>
    </x:row>
    <x:row r="7">
      <x:c r="A7" s="31" t="str">
        <x:v>Costo anual de servicios auxiliares</x:v>
      </x:c>
      <x:c r="B7" s="104" t="n">
        <x:f>'Costeo anual'!B24</x:f>
        <x:v>1135841.8176</x:v>
      </x:c>
      <x:c r="C7" s="148" t="str">
        <x:v>USD/año</x:v>
      </x:c>
      <x:c r="E7" s="34" t="str">
        <x:v>Horas/año</x:v>
      </x:c>
      <x:c r="F7" s="157" t="n">
        <x:f>'Supuestos'!B7</x:f>
        <x:v>8400</x:v>
      </x:c>
    </x:row>
    <x:row r="8">
      <x:c r="A8" s="132" t="str">
        <x:v>Costeo anual total de la planta</x:v>
      </x:c>
      <x:c r="B8" s="129" t="n">
        <x:f>'Costeo anual'!B25</x:f>
        <x:v>58297541.8176</x:v>
      </x:c>
      <x:c r="C8" s="133" t="str">
        <x:v>USD/año</x:v>
      </x:c>
    </x:row>
    <x:row r="11">
      <x:c r="A11" s="28" t="str">
        <x:v>Texto resumen para reporte</x:v>
      </x:c>
      <x:c r="B11" s="29"/>
      <x:c r="C11" s="29"/>
      <x:c r="D11" s="29"/>
      <x:c r="E11" s="29"/>
      <x:c r="F11" s="30"/>
    </x:row>
    <x:row r="12">
      <x:c r="A12" s="56" t="str">
        <x:v>La inversión total requerida de la planta se estimó tomando como base el costo total instalado de los equipos principales, obteniéndose un valor de 4,070,400 USD. El costeo anual de la planta se calculó a partir del costo anual de materias primas y servicios auxiliares. Las materias primas representan 57,161,700 USD/año, mientras que los servicios auxiliares representan 1,135,841.82 USD/año. Por lo tanto, el costeo anual total estimado para la operación de la planta es de 58,297,541.82 USD/año.</x:v>
      </x:c>
      <x:c r="B12" s="57"/>
      <x:c r="C12" s="57"/>
      <x:c r="D12" s="57"/>
      <x:c r="E12" s="57"/>
      <x:c r="F12" s="58"/>
    </x:row>
    <x:row r="13">
      <x:c r="A13" s="56"/>
      <x:c r="B13" s="57"/>
      <x:c r="C13" s="57"/>
      <x:c r="D13" s="57"/>
      <x:c r="E13" s="57"/>
      <x:c r="F13" s="58"/>
    </x:row>
    <x:row r="14">
      <x:c r="A14" s="56"/>
      <x:c r="B14" s="57"/>
      <x:c r="C14" s="57"/>
      <x:c r="D14" s="57"/>
      <x:c r="E14" s="57"/>
      <x:c r="F14" s="58"/>
    </x:row>
    <x:row r="15">
      <x:c r="A15" s="56"/>
      <x:c r="B15" s="57"/>
      <x:c r="C15" s="57"/>
      <x:c r="D15" s="57"/>
      <x:c r="E15" s="57"/>
      <x:c r="F15" s="58"/>
    </x:row>
    <x:row r="16">
      <x:c r="A16" s="56"/>
      <x:c r="B16" s="57"/>
      <x:c r="C16" s="57"/>
      <x:c r="D16" s="57"/>
      <x:c r="E16" s="57"/>
      <x:c r="F16" s="58"/>
    </x:row>
    <x:row r="17">
      <x:c r="A17" s="59"/>
      <x:c r="B17" s="60"/>
      <x:c r="C17" s="60"/>
      <x:c r="D17" s="60"/>
      <x:c r="E17" s="60"/>
      <x:c r="F17" s="61"/>
    </x:row>
  </x:sheetData>
  <x:mergeCells>
    <x:mergeCell ref="A1:F2"/>
    <x:mergeCell ref="A11:F11"/>
    <x:mergeCell ref="A12:F17"/>
  </x:mergeCells>
  <x:pageMargins left="0.7" right="0.7" top="0.75" bottom="0.75" header="0.3" footer="0.3"/>
  <x:drawing xmlns:r="http://schemas.openxmlformats.org/officeDocument/2006/relationships" r:id="R9f868dc449344624"/>
  <x:tableParts count="1">
    <x:tablePart xmlns:r="http://schemas.openxmlformats.org/officeDocument/2006/relationships" r:id="R03d08fe8811e41e4"/>
  </x:tableParts>
</x:worksheet>
</file>

<file path=xl/worksheets/sheet2.xml><?xml version="1.0" encoding="utf-8"?>
<x:worksheet xmlns:x="http://schemas.openxmlformats.org/spreadsheetml/2006/main">
  <x:sheetFormatPr defaultRowHeight="15"/>
  <x:cols>
    <x:col min="1" max="1" width="30" hidden="0" customWidth="1"/>
    <x:col min="2" max="2" width="18" hidden="0" customWidth="1"/>
    <x:col min="3" max="3" width="28" hidden="0" customWidth="1"/>
    <x:col min="4" max="4" width="18" hidden="0" customWidth="1"/>
    <x:col min="5" max="5" width="58" hidden="0" customWidth="1"/>
  </x:cols>
  <x:sheetData>
    <x:row r="1">
      <x:c r="A1" s="5" t="str">
        <x:v>Total de inversión requerido de la planta</x:v>
      </x:c>
      <x:c r="B1" s="5"/>
      <x:c r="C1" s="5"/>
      <x:c r="D1" s="5"/>
      <x:c r="E1" s="5"/>
    </x:row>
    <x:row r="2">
      <x:c r="A2" s="5"/>
      <x:c r="B2" s="5"/>
      <x:c r="C2" s="5"/>
      <x:c r="D2" s="5"/>
      <x:c r="E2" s="5"/>
    </x:row>
    <x:row r="4">
      <x:c r="A4" s="28" t="str">
        <x:v>Concepto</x:v>
      </x:c>
      <x:c r="B4" s="29" t="str">
        <x:v>Valor [USD]</x:v>
      </x:c>
      <x:c r="C4" s="29" t="str">
        <x:v>Criterio</x:v>
      </x:c>
      <x:c r="D4" s="29" t="str">
        <x:v>Se usa para inversión</x:v>
      </x:c>
      <x:c r="E4" s="30" t="str">
        <x:v>Observación</x:v>
      </x:c>
    </x:row>
    <x:row r="5">
      <x:c r="A5" s="31" t="str">
        <x:v>Costo total de equipo</x:v>
      </x:c>
      <x:c r="B5" s="46" t="n">
        <x:v>1463800</x:v>
      </x:c>
      <x:c r="C5" s="70" t="str">
        <x:v>Costo base de adquisición</x:v>
      </x:c>
      <x:c r="D5" s="70" t="str">
        <x:v>No</x:v>
      </x:c>
      <x:c r="E5" s="33" t="str">
        <x:v>Dato de equipos costeados</x:v>
      </x:c>
    </x:row>
    <x:row r="6">
      <x:c r="A6" s="34" t="str">
        <x:v>Costo total instalado</x:v>
      </x:c>
      <x:c r="B6" s="47" t="n">
        <x:v>4070400</x:v>
      </x:c>
      <x:c r="C6" s="71" t="str">
        <x:v>Costo de equipo + instalación</x:v>
      </x:c>
      <x:c r="D6" s="71" t="str">
        <x:v>Sí</x:v>
      </x:c>
      <x:c r="E6" s="36" t="str">
        <x:v>Representa la inversión preliminar de equipos principales</x:v>
      </x:c>
    </x:row>
    <x:row r="9">
      <x:c r="A9" s="14" t="str">
        <x:v>Resultado</x:v>
      </x:c>
      <x:c r="B9" s="14" t="str">
        <x:v>Fórmula</x:v>
      </x:c>
      <x:c r="C9" s="14" t="str">
        <x:v>Total [USD]</x:v>
      </x:c>
      <x:c r="D9" s="14" t="str">
        <x:v>Unidad</x:v>
      </x:c>
      <x:c r="E9" s="14" t="str">
        <x:v>Comentario</x:v>
      </x:c>
    </x:row>
    <x:row r="10">
      <x:c r="A10" s="82" t="str">
        <x:v>Inversión total requerida</x:v>
      </x:c>
      <x:c r="B10" s="83" t="str">
        <x:v>Costo total instalado</x:v>
      </x:c>
      <x:c r="C10" s="96" t="n">
        <x:f>B6</x:f>
        <x:v>4070400</x:v>
      </x:c>
      <x:c r="D10" s="83" t="str">
        <x:v>USD</x:v>
      </x:c>
      <x:c r="E10" s="84" t="str">
        <x:v>Inversión preliminar de los equipos principales instalados</x:v>
      </x:c>
    </x:row>
    <x:row r="13">
      <x:c r="A13" s="28" t="str">
        <x:v>Interpretación</x:v>
      </x:c>
      <x:c r="B13" s="29" t="str"/>
      <x:c r="C13" s="29" t="str"/>
      <x:c r="D13" s="29" t="str"/>
      <x:c r="E13" s="30" t="str"/>
    </x:row>
    <x:row r="14">
      <x:c r="A14" s="56" t="str">
        <x:v>El valor de inversión requerido corresponde al costo total instalado de los equipos principales costeados por Aspen HYSYS.</x:v>
      </x:c>
      <x:c r="B14" s="57" t="str"/>
      <x:c r="C14" s="57" t="str"/>
      <x:c r="D14" s="57" t="str"/>
      <x:c r="E14" s="58" t="str"/>
    </x:row>
    <x:row r="15">
      <x:c r="A15" s="59" t="str">
        <x:v>No representa la inversión total definitiva del proyecto, ya que no incluye terreno, obra civil, ingeniería detallada, permisos, contingencias ni capital de trabajo.</x:v>
      </x:c>
      <x:c r="B15" s="60" t="str"/>
      <x:c r="C15" s="60" t="str"/>
      <x:c r="D15" s="60" t="str"/>
      <x:c r="E15" s="61" t="str"/>
    </x:row>
  </x:sheetData>
  <x:mergeCells>
    <x:mergeCell ref="A1:E2"/>
    <x:mergeCell ref="A13:E13"/>
    <x:mergeCell ref="A14:E14"/>
    <x:mergeCell ref="A15:E15"/>
  </x:mergeCells>
  <x:pageMargins left="0.7" right="0.7" top="0.75" bottom="0.75" header="0.3" footer="0.3"/>
  <x:tableParts count="1">
    <x:tablePart xmlns:r="http://schemas.openxmlformats.org/officeDocument/2006/relationships" r:id="R6e921301ad2f4a4e"/>
  </x:tableParts>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18" hidden="0" customWidth="1"/>
    <x:col min="4" max="4" width="18" hidden="0" customWidth="1"/>
    <x:col min="5" max="5" width="22" hidden="0" customWidth="1"/>
    <x:col min="6" max="6" width="24" hidden="0" customWidth="1"/>
    <x:col min="7" max="7" width="42" hidden="0" customWidth="1"/>
  </x:cols>
  <x:sheetData>
    <x:row r="1">
      <x:c r="A1" s="5" t="str">
        <x:v>Costeo anual de la planta</x:v>
      </x:c>
      <x:c r="B1" s="5"/>
      <x:c r="C1" s="5"/>
      <x:c r="D1" s="5"/>
      <x:c r="E1" s="5"/>
      <x:c r="F1" s="5"/>
      <x:c r="G1" s="5"/>
    </x:row>
    <x:row r="2">
      <x:c r="A2" s="5"/>
      <x:c r="B2" s="5"/>
      <x:c r="C2" s="5"/>
      <x:c r="D2" s="5"/>
      <x:c r="E2" s="5"/>
      <x:c r="F2" s="5"/>
      <x:c r="G2" s="5"/>
    </x:row>
    <x:row r="4">
      <x:c r="A4" s="99" t="str">
        <x:v>Costo anual de materias primas</x:v>
      </x:c>
      <x:c r="B4" s="99"/>
      <x:c r="C4" s="99"/>
      <x:c r="D4" s="99"/>
      <x:c r="E4" s="99"/>
      <x:c r="F4" s="99"/>
      <x:c r="G4" s="99"/>
    </x:row>
    <x:row r="5">
      <x:c r="A5" s="28" t="str">
        <x:v>Materia prima</x:v>
      </x:c>
      <x:c r="B5" s="29" t="str">
        <x:v>Proveedor</x:v>
      </x:c>
      <x:c r="C5" s="29" t="str">
        <x:v>Cantidad</x:v>
      </x:c>
      <x:c r="D5" s="29" t="str">
        <x:v>Unidad cantidad</x:v>
      </x:c>
      <x:c r="E5" s="29" t="str">
        <x:v>Precio unitario</x:v>
      </x:c>
      <x:c r="F5" s="29" t="str">
        <x:v>Unidad precio</x:v>
      </x:c>
      <x:c r="G5" s="30" t="str">
        <x:v>Costo anual [USD/año]</x:v>
      </x:c>
    </x:row>
    <x:row r="6">
      <x:c r="A6" s="31" t="str">
        <x:v>Nitrobenceno</x:v>
      </x:c>
      <x:c r="B6" s="70" t="str">
        <x:v>Wanhua Chemical</x:v>
      </x:c>
      <x:c r="C6" s="104" t="n">
        <x:v>43041.6</x:v>
      </x:c>
      <x:c r="D6" s="32" t="str">
        <x:v>ton/año</x:v>
      </x:c>
      <x:c r="E6" s="104" t="n">
        <x:v>1175</x:v>
      </x:c>
      <x:c r="F6" s="32" t="str">
        <x:v>USD/ton</x:v>
      </x:c>
      <x:c r="G6" s="105" t="n">
        <x:f>C6*E6</x:f>
        <x:v>50573880</x:v>
      </x:c>
    </x:row>
    <x:row r="7">
      <x:c r="A7" s="31" t="str">
        <x:v>Hidrógeno</x:v>
      </x:c>
      <x:c r="B7" s="70" t="str">
        <x:v>Linde México</x:v>
      </x:c>
      <x:c r="C7" s="104" t="n">
        <x:v>2286.48</x:v>
      </x:c>
      <x:c r="D7" s="32" t="str">
        <x:v>ton/año</x:v>
      </x:c>
      <x:c r="E7" s="104" t="n">
        <x:v>2.75</x:v>
      </x:c>
      <x:c r="F7" s="32" t="str">
        <x:v>USD/kg</x:v>
      </x:c>
      <x:c r="G7" s="105" t="n">
        <x:f>C7*1000*E7</x:f>
        <x:v>6287820</x:v>
      </x:c>
    </x:row>
    <x:row r="8">
      <x:c r="A8" s="34" t="str">
        <x:v>Paladio soportado en alúmina</x:v>
      </x:c>
      <x:c r="B8" s="71" t="str">
        <x:v>BADF Catalisys</x:v>
      </x:c>
      <x:c r="C8" s="106" t="n">
        <x:v>5</x:v>
      </x:c>
      <x:c r="D8" s="35" t="str">
        <x:v>ton/año</x:v>
      </x:c>
      <x:c r="E8" s="106" t="n">
        <x:v>60</x:v>
      </x:c>
      <x:c r="F8" s="35" t="str">
        <x:v>USD/kg</x:v>
      </x:c>
      <x:c r="G8" s="107" t="n">
        <x:f>C8*1000*E8</x:f>
        <x:v>300000</x:v>
      </x:c>
    </x:row>
    <x:row r="9">
      <x:c r="F9" s="82" t="str">
        <x:v>Total materias primas</x:v>
      </x:c>
      <x:c r="G9" s="112" t="n">
        <x:f>SUM(G6:G8)</x:f>
        <x:v>57161700</x:v>
      </x:c>
    </x:row>
    <x:row r="12">
      <x:c r="A12" s="99" t="str">
        <x:v>Costo anual de servicios auxiliares</x:v>
      </x:c>
      <x:c r="B12" s="99"/>
      <x:c r="C12" s="99"/>
      <x:c r="D12" s="99"/>
      <x:c r="E12" s="99"/>
      <x:c r="F12" s="99"/>
      <x:c r="G12" s="99"/>
    </x:row>
    <x:row r="13">
      <x:c r="A13" s="28" t="str">
        <x:v>Servicio auxiliar</x:v>
      </x:c>
      <x:c r="B13" s="29" t="str">
        <x:v>Costo horario</x:v>
      </x:c>
      <x:c r="C13" s="29" t="str">
        <x:v>Unidad</x:v>
      </x:c>
      <x:c r="D13" s="29" t="str">
        <x:v>Horas/año</x:v>
      </x:c>
      <x:c r="E13" s="29" t="str">
        <x:v>Fuente horas</x:v>
      </x:c>
      <x:c r="F13" s="29" t="str">
        <x:v>Costo anual [USD/año]</x:v>
      </x:c>
      <x:c r="G13" s="30" t="str">
        <x:v>Comentario</x:v>
      </x:c>
    </x:row>
    <x:row r="14">
      <x:c r="A14" s="31" t="str">
        <x:v>Electricidad</x:v>
      </x:c>
      <x:c r="B14" s="104" t="n">
        <x:v>7.90965</x:v>
      </x:c>
      <x:c r="C14" s="32" t="str">
        <x:v>USD/h</x:v>
      </x:c>
      <x:c r="D14" s="46" t="n">
        <x:f>'Supuestos'!$B$7</x:f>
        <x:v>8400</x:v>
      </x:c>
      <x:c r="E14" s="32" t="str">
        <x:v>Supuestos!B7</x:v>
      </x:c>
      <x:c r="F14" s="104" t="n">
        <x:f>B14*D14</x:f>
        <x:v>66441.06</x:v>
      </x:c>
      <x:c r="G14" s="33" t="str">
        <x:v>Consumo eléctrico de equipos</x:v>
      </x:c>
    </x:row>
    <x:row r="15">
      <x:c r="A15" s="31" t="str">
        <x:v>Agua de enfriamiento</x:v>
      </x:c>
      <x:c r="B15" s="104" t="n">
        <x:v>12.7344</x:v>
      </x:c>
      <x:c r="C15" s="32" t="str">
        <x:v>USD/h</x:v>
      </x:c>
      <x:c r="D15" s="46" t="n">
        <x:f>'Supuestos'!$B$7</x:f>
        <x:v>8400</x:v>
      </x:c>
      <x:c r="E15" s="32" t="str">
        <x:v>Supuestos!B7</x:v>
      </x:c>
      <x:c r="F15" s="104" t="n">
        <x:f>B15*D15</x:f>
        <x:v>106968.96</x:v>
      </x:c>
      <x:c r="G15" s="33" t="str">
        <x:v>Servicio de enfriamiento</x:v>
      </x:c>
    </x:row>
    <x:row r="16">
      <x:c r="A16" s="31" t="str">
        <x:v>Vapor @100 psi</x:v>
      </x:c>
      <x:c r="B16" s="104" t="n">
        <x:v>92.73902</x:v>
      </x:c>
      <x:c r="C16" s="32" t="str">
        <x:v>USD/h</x:v>
      </x:c>
      <x:c r="D16" s="46" t="n">
        <x:f>'Supuestos'!$B$7</x:f>
        <x:v>8400</x:v>
      </x:c>
      <x:c r="E16" s="32" t="str">
        <x:v>Supuestos!B7</x:v>
      </x:c>
      <x:c r="F16" s="104" t="n">
        <x:f>B16*D16</x:f>
        <x:v>779007.7679999999</x:v>
      </x:c>
      <x:c r="G16" s="33" t="str">
        <x:v>Servicio térmico principal</x:v>
      </x:c>
    </x:row>
    <x:row r="17">
      <x:c r="A17" s="34" t="str">
        <x:v>Vapor @165 psi</x:v>
      </x:c>
      <x:c r="B17" s="106" t="n">
        <x:v>21.836194</x:v>
      </x:c>
      <x:c r="C17" s="35" t="str">
        <x:v>USD/h</x:v>
      </x:c>
      <x:c r="D17" s="47" t="n">
        <x:f>'Supuestos'!$B$7</x:f>
        <x:v>8400</x:v>
      </x:c>
      <x:c r="E17" s="35" t="str">
        <x:v>Supuestos!B7</x:v>
      </x:c>
      <x:c r="F17" s="106" t="n">
        <x:f>B17*D17</x:f>
        <x:v>183424.02959999998</x:v>
      </x:c>
      <x:c r="G17" s="36" t="str">
        <x:v>Servicio térmico secundario</x:v>
      </x:c>
    </x:row>
    <x:row r="18">
      <x:c r="E18" s="82" t="str">
        <x:v>Total servicios auxiliares</x:v>
      </x:c>
      <x:c r="F18" s="112" t="n">
        <x:f>SUM(F14:F17)</x:f>
        <x:v>1135841.8176</x:v>
      </x:c>
    </x:row>
    <x:row r="21">
      <x:c r="A21" s="99" t="str">
        <x:v>Costeo anual total de la planta</x:v>
      </x:c>
      <x:c r="B21" s="99"/>
      <x:c r="C21" s="99"/>
      <x:c r="D21" s="99"/>
      <x:c r="E21" s="99"/>
      <x:c r="F21" s="99"/>
      <x:c r="G21" s="99"/>
    </x:row>
    <x:row r="22">
      <x:c r="A22" s="28" t="str">
        <x:v>Concepto</x:v>
      </x:c>
      <x:c r="B22" s="29" t="str">
        <x:v>Valor [USD/año]</x:v>
      </x:c>
      <x:c r="C22" s="29" t="str">
        <x:v>Porcentaje del total</x:v>
      </x:c>
      <x:c r="D22" s="30" t="str">
        <x:v>Comentario</x:v>
      </x:c>
    </x:row>
    <x:row r="23">
      <x:c r="A23" s="31" t="str">
        <x:v>Costo anual de materias primas</x:v>
      </x:c>
      <x:c r="B23" s="104" t="n">
        <x:f>G9</x:f>
        <x:v>57161700</x:v>
      </x:c>
      <x:c r="C23" s="116" t="n">
        <x:f>B23/$B$25</x:f>
        <x:v>0.9805164714979957</x:v>
      </x:c>
      <x:c r="D23" s="33" t="str">
        <x:v>Suma de nitrobenceno, hidrógeno y catalizador</x:v>
      </x:c>
    </x:row>
    <x:row r="24">
      <x:c r="A24" s="31" t="str">
        <x:v>Costo anual de servicios auxiliares</x:v>
      </x:c>
      <x:c r="B24" s="104" t="n">
        <x:f>F18</x:f>
        <x:v>1135841.8176</x:v>
      </x:c>
      <x:c r="C24" s="116" t="n">
        <x:f>B24/$B$25</x:f>
        <x:v>0.019483528502004348</x:v>
      </x:c>
      <x:c r="D24" s="33" t="str">
        <x:v>Suma de electricidad, agua de enfriamiento y vapor</x:v>
      </x:c>
    </x:row>
    <x:row r="25">
      <x:c r="A25" s="132" t="str">
        <x:v>Costeo anual total de la planta</x:v>
      </x:c>
      <x:c r="B25" s="129" t="n">
        <x:f>SUM(B23:B24)</x:f>
        <x:v>58297541.8176</x:v>
      </x:c>
      <x:c r="C25" s="130" t="n">
        <x:f>SUM(C23:C24)</x:f>
        <x:v>1</x:v>
      </x:c>
      <x:c r="D25" s="133" t="str">
        <x:v>Materias primas + servicios auxiliares</x:v>
      </x:c>
    </x:row>
  </x:sheetData>
  <x:mergeCells>
    <x:mergeCell ref="A1:G2"/>
    <x:mergeCell ref="A4:G4"/>
    <x:mergeCell ref="A12:G12"/>
    <x:mergeCell ref="A21:G21"/>
  </x:mergeCells>
  <x:pageMargins left="0.7" right="0.7" top="0.75" bottom="0.75" header="0.3" footer="0.3"/>
  <x:tableParts count="3">
    <x:tablePart xmlns:r="http://schemas.openxmlformats.org/officeDocument/2006/relationships" r:id="R2c78f15946a54079"/>
    <x:tablePart xmlns:r="http://schemas.openxmlformats.org/officeDocument/2006/relationships" r:id="R2c128125da54460e"/>
    <x:tablePart xmlns:r="http://schemas.openxmlformats.org/officeDocument/2006/relationships" r:id="Rf8a138692b574f55"/>
  </x:tableParts>
</x:worksheet>
</file>

<file path=xl/worksheets/sheet4.xml><?xml version="1.0" encoding="utf-8"?>
<x:worksheet xmlns:x="http://schemas.openxmlformats.org/spreadsheetml/2006/main">
  <x:sheetFormatPr defaultRowHeight="15"/>
  <x:cols>
    <x:col min="1" max="1" width="34" hidden="0" customWidth="1"/>
    <x:col min="2" max="2" width="18" hidden="0" customWidth="1"/>
    <x:col min="3" max="3" width="16" hidden="0" customWidth="1"/>
    <x:col min="4" max="4" width="58" hidden="0" customWidth="1"/>
  </x:cols>
  <x:sheetData>
    <x:row r="1">
      <x:c r="A1" s="5" t="str">
        <x:v>Supuestos base para el cálculo económico</x:v>
      </x:c>
      <x:c r="B1" s="5"/>
      <x:c r="C1" s="5"/>
      <x:c r="D1" s="5"/>
    </x:row>
    <x:row r="2">
      <x:c r="A2" s="5"/>
      <x:c r="B2" s="5"/>
      <x:c r="C2" s="5"/>
      <x:c r="D2" s="5"/>
    </x:row>
    <x:row r="4">
      <x:c r="A4" s="28" t="str">
        <x:v>Concepto</x:v>
      </x:c>
      <x:c r="B4" s="29" t="str">
        <x:v>Valor</x:v>
      </x:c>
      <x:c r="C4" s="29" t="str">
        <x:v>Unidad</x:v>
      </x:c>
      <x:c r="D4" s="30" t="str">
        <x:v>Comentario</x:v>
      </x:c>
    </x:row>
    <x:row r="5">
      <x:c r="A5" s="31" t="str">
        <x:v>Días de operación al año</x:v>
      </x:c>
      <x:c r="B5" s="46" t="n">
        <x:v>350</x:v>
      </x:c>
      <x:c r="C5" s="32" t="str">
        <x:v>días/año</x:v>
      </x:c>
      <x:c r="D5" s="33" t="str">
        <x:v>Base de operación continua del proyecto</x:v>
      </x:c>
    </x:row>
    <x:row r="6">
      <x:c r="A6" s="31" t="str">
        <x:v>Horas de operación por día</x:v>
      </x:c>
      <x:c r="B6" s="46" t="n">
        <x:v>24</x:v>
      </x:c>
      <x:c r="C6" s="32" t="str">
        <x:v>h/día</x:v>
      </x:c>
      <x:c r="D6" s="33" t="str">
        <x:v>Operación continua</x:v>
      </x:c>
    </x:row>
    <x:row r="7">
      <x:c r="A7" s="34" t="str">
        <x:v>Horas de operación al año</x:v>
      </x:c>
      <x:c r="B7" s="47" t="n">
        <x:f>B5*B6</x:f>
        <x:v>8400</x:v>
      </x:c>
      <x:c r="C7" s="35" t="str">
        <x:v>h/año</x:v>
      </x:c>
      <x:c r="D7" s="36" t="str">
        <x:v>Calculado como días de operación × horas por día</x:v>
      </x:c>
    </x:row>
    <x:row r="10">
      <x:c r="A10" s="28" t="str">
        <x:v>Nota</x:v>
      </x:c>
      <x:c r="B10" s="29"/>
      <x:c r="C10" s="29"/>
      <x:c r="D10" s="30"/>
    </x:row>
    <x:row r="11">
      <x:c r="A11" s="56" t="str">
        <x:v>Los cálculos se realizaron con base en los datos del archivo del proyecto: inversión por equipos principales instalados, costos anuales de materias primas y costos horarios de servicios auxiliares. No se incluyen terreno, obra civil, ingeniería detallada, permisos, contingencias ni capital de trabajo.</x:v>
      </x:c>
      <x:c r="B11" s="57"/>
      <x:c r="C11" s="57"/>
      <x:c r="D11" s="58"/>
    </x:row>
    <x:row r="12">
      <x:c r="A12" s="56"/>
      <x:c r="B12" s="57"/>
      <x:c r="C12" s="57"/>
      <x:c r="D12" s="58"/>
    </x:row>
    <x:row r="13">
      <x:c r="A13" s="59"/>
      <x:c r="B13" s="60"/>
      <x:c r="C13" s="60"/>
      <x:c r="D13" s="61"/>
    </x:row>
  </x:sheetData>
  <x:mergeCells>
    <x:mergeCell ref="A1:D2"/>
    <x:mergeCell ref="A10:D10"/>
    <x:mergeCell ref="A11:D13"/>
  </x:mergeCells>
  <x:pageMargins left="0.7" right="0.7" top="0.75" bottom="0.75" header="0.3" footer="0.3"/>
</x:worksheet>
</file>