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f2923d42d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iedades" sheetId="1" r:id="Rffaaec7526844dae"/>
    <x:sheet xmlns:r="http://schemas.openxmlformats.org/officeDocument/2006/relationships" name="Tabla original" sheetId="2" r:id="R06cf7ffc002140c3"/>
    <x:sheet xmlns:r="http://schemas.openxmlformats.org/officeDocument/2006/relationships" name="Resumen" sheetId="3" r:id="R2d669eb9944f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"/>
    <x:numFmt numFmtId="201" formatCode="#,##0.000"/>
    <x:numFmt numFmtId="202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color rgb="FF375623"/>
      <x:name val="Carlito"/>
    </x:font>
    <x:font>
      <x:b/>
      <x:sz val="11"/>
      <x:color rgb="FF666666"/>
      <x:name val="Carlito"/>
    </x:font>
    <x:font>
      <x:b/>
      <x:sz val="11"/>
      <x:color rgb="FF9C0006"/>
      <x:name val="Carlito"/>
    </x:font>
    <x:font>
      <x:b/>
      <x:sz val="11"/>
      <x:color rgb="FF0B3D9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3D91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AF2FF"/>
      </x:patternFill>
    </x:fill>
    <x:fill>
      <x:patternFill patternType="solid">
        <x:fgColor rgb="FFF8F9FA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left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lef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left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 applyAlignment="1">
      <x:alignment horizontal="center" vertical="center" wrapText="1"/>
    </x:xf>
    <x:xf numFmtId="200" fontId="0" fillId="0" borderId="18" xfId="0" applyNumberFormat="1" applyFont="1" applyFill="1" applyBorder="1" applyAlignment="1">
      <x:alignment horizontal="center" vertical="center" wrapText="1"/>
    </x:xf>
    <x:xf numFmtId="201" fontId="0" fillId="0" borderId="6" xfId="0" applyNumberFormat="1" applyFont="1" applyFill="1" applyBorder="1" applyAlignment="1">
      <x:alignment horizontal="center" vertical="center" wrapText="1"/>
    </x:xf>
    <x:xf numFmtId="201" fontId="0" fillId="0" borderId="7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201" fontId="0" fillId="0" borderId="10" xfId="0" applyNumberFormat="1" applyFont="1" applyFill="1" applyBorder="1" applyAlignment="1">
      <x:alignment horizontal="center" vertical="center" wrapText="1"/>
    </x:xf>
    <x:xf numFmtId="201" fontId="0" fillId="0" borderId="15" xfId="0" applyNumberFormat="1" applyFont="1" applyFill="1" applyBorder="1" applyAlignment="1">
      <x:alignment horizontal="center" vertical="center" wrapText="1"/>
    </x:xf>
    <x:xf numFmtId="201" fontId="0" fillId="0" borderId="16" xfId="0" applyNumberFormat="1" applyFont="1" applyFill="1" applyBorder="1" applyAlignment="1">
      <x:alignment horizontal="center" vertical="center" wrapText="1"/>
    </x:xf>
    <x:xf numFmtId="201" fontId="0" fillId="0" borderId="18" xfId="0" applyNumberFormat="1" applyFont="1" applyFill="1" applyBorder="1" applyAlignment="1">
      <x:alignment horizontal="center" vertical="center" wrapText="1"/>
    </x:xf>
    <x:xf numFmtId="201" fontId="0" fillId="0" borderId="19" xfId="0" applyNumberFormat="1" applyFont="1" applyFill="1" applyBorder="1" applyAlignment="1">
      <x:alignment horizontal="center" vertical="center" wrapText="1"/>
    </x:xf>
    <x:xf numFmtId="0" fontId="0" fillId="4" borderId="6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4" borderId="15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201" fontId="0" fillId="5" borderId="6" xfId="0" applyNumberFormat="1" applyFont="1" applyFill="1" applyBorder="1" applyAlignment="1">
      <x:alignment horizontal="center" vertical="center" wrapText="1"/>
    </x:xf>
    <x:xf numFmtId="201" fontId="0" fillId="5" borderId="7" xfId="0" applyNumberFormat="1" applyFont="1" applyFill="1" applyBorder="1" applyAlignment="1">
      <x:alignment horizontal="center" vertical="center" wrapText="1"/>
    </x:xf>
    <x:xf numFmtId="201" fontId="4" fillId="5" borderId="6" xfId="0" applyNumberFormat="1" applyFont="1" applyFill="1" applyBorder="1" applyAlignment="1">
      <x:alignment horizontal="center" vertical="center" wrapText="1"/>
    </x:xf>
    <x:xf numFmtId="201" fontId="4" fillId="5" borderId="7" xfId="0" applyNumberFormat="1" applyFont="1" applyFill="1" applyBorder="1" applyAlignment="1">
      <x:alignment horizontal="center" vertical="center" wrapText="1"/>
    </x:xf>
    <x:xf numFmtId="201" fontId="0" fillId="5" borderId="15" xfId="0" applyNumberFormat="1" applyFont="1" applyFill="1" applyBorder="1" applyAlignment="1">
      <x:alignment horizontal="center" vertical="center" wrapText="1"/>
    </x:xf>
    <x:xf numFmtId="201" fontId="0" fillId="5" borderId="16" xfId="0" applyNumberFormat="1" applyFont="1" applyFill="1" applyBorder="1" applyAlignment="1">
      <x:alignment horizontal="center" vertical="center" wrapText="1"/>
    </x:xf>
    <x:xf numFmtId="201" fontId="4" fillId="5" borderId="15" xfId="0" applyNumberFormat="1" applyFont="1" applyFill="1" applyBorder="1" applyAlignment="1">
      <x:alignment horizontal="center" vertical="center" wrapText="1"/>
    </x:xf>
    <x:xf numFmtId="201" fontId="4" fillId="5" borderId="16" xfId="0" applyNumberFormat="1" applyFont="1" applyFill="1" applyBorder="1" applyAlignment="1">
      <x:alignment horizontal="center" vertical="center" wrapText="1"/>
    </x:xf>
    <x:xf numFmtId="0" fontId="0" fillId="5" borderId="6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0" fillId="5" borderId="15" xfId="0" applyNumberFormat="1" applyFont="1" applyFill="1" applyBorder="1" applyAlignment="1">
      <x:alignment horizontal="center" vertical="center" wrapText="1"/>
    </x:xf>
    <x:xf numFmtId="0" fontId="3" fillId="5" borderId="15" xfId="0" applyNumberFormat="1" applyFont="1" applyFill="1" applyBorder="1" applyAlignment="1">
      <x:alignment horizontal="center" vertical="center" wrapText="1"/>
    </x:xf>
    <x:xf numFmtId="201" fontId="0" fillId="6" borderId="6" xfId="0" applyNumberFormat="1" applyFont="1" applyFill="1" applyBorder="1" applyAlignment="1">
      <x:alignment horizontal="center" vertical="center" wrapText="1"/>
    </x:xf>
    <x:xf numFmtId="201" fontId="0" fillId="6" borderId="7" xfId="0" applyNumberFormat="1" applyFont="1" applyFill="1" applyBorder="1" applyAlignment="1">
      <x:alignment horizontal="center" vertical="center" wrapText="1"/>
    </x:xf>
    <x:xf numFmtId="201" fontId="5" fillId="6" borderId="6" xfId="0" applyNumberFormat="1" applyFont="1" applyFill="1" applyBorder="1" applyAlignment="1">
      <x:alignment horizontal="center" vertical="center" wrapText="1"/>
    </x:xf>
    <x:xf numFmtId="201" fontId="5" fillId="6" borderId="7" xfId="0" applyNumberFormat="1" applyFont="1" applyFill="1" applyBorder="1" applyAlignment="1">
      <x:alignment horizontal="center" vertical="center" wrapText="1"/>
    </x:xf>
    <x:xf numFmtId="201" fontId="0" fillId="6" borderId="15" xfId="0" applyNumberFormat="1" applyFont="1" applyFill="1" applyBorder="1" applyAlignment="1">
      <x:alignment horizontal="center" vertical="center" wrapText="1"/>
    </x:xf>
    <x:xf numFmtId="201" fontId="0" fillId="6" borderId="16" xfId="0" applyNumberFormat="1" applyFont="1" applyFill="1" applyBorder="1" applyAlignment="1">
      <x:alignment horizontal="center" vertical="center" wrapText="1"/>
    </x:xf>
    <x:xf numFmtId="201" fontId="5" fillId="6" borderId="15" xfId="0" applyNumberFormat="1" applyFont="1" applyFill="1" applyBorder="1" applyAlignment="1">
      <x:alignment horizontal="center" vertical="center" wrapText="1"/>
    </x:xf>
    <x:xf numFmtId="201" fontId="5" fillId="6" borderId="16" xfId="0" applyNumberFormat="1" applyFont="1" applyFill="1" applyBorder="1" applyAlignment="1">
      <x:alignment horizontal="center" vertical="center" wrapText="1"/>
    </x:xf>
    <x:xf numFmtId="201" fontId="0" fillId="7" borderId="6" xfId="0" applyNumberFormat="1" applyFont="1" applyFill="1" applyBorder="1" applyAlignment="1">
      <x:alignment horizontal="center" vertical="center" wrapText="1"/>
    </x:xf>
    <x:xf numFmtId="201" fontId="0" fillId="7" borderId="7" xfId="0" applyNumberFormat="1" applyFont="1" applyFill="1" applyBorder="1" applyAlignment="1">
      <x:alignment horizontal="center" vertical="center" wrapText="1"/>
    </x:xf>
    <x:xf numFmtId="201" fontId="6" fillId="7" borderId="6" xfId="0" applyNumberFormat="1" applyFont="1" applyFill="1" applyBorder="1" applyAlignment="1">
      <x:alignment horizontal="center" vertical="center" wrapText="1"/>
    </x:xf>
    <x:xf numFmtId="201" fontId="6" fillId="7" borderId="7" xfId="0" applyNumberFormat="1" applyFont="1" applyFill="1" applyBorder="1" applyAlignment="1">
      <x:alignment horizontal="center" vertical="center" wrapText="1"/>
    </x:xf>
    <x:xf numFmtId="201" fontId="0" fillId="7" borderId="15" xfId="0" applyNumberFormat="1" applyFont="1" applyFill="1" applyBorder="1" applyAlignment="1">
      <x:alignment horizontal="center" vertical="center" wrapText="1"/>
    </x:xf>
    <x:xf numFmtId="201" fontId="0" fillId="7" borderId="16" xfId="0" applyNumberFormat="1" applyFont="1" applyFill="1" applyBorder="1" applyAlignment="1">
      <x:alignment horizontal="center" vertical="center" wrapText="1"/>
    </x:xf>
    <x:xf numFmtId="201" fontId="6" fillId="7" borderId="15" xfId="0" applyNumberFormat="1" applyFont="1" applyFill="1" applyBorder="1" applyAlignment="1">
      <x:alignment horizontal="center" vertical="center" wrapText="1"/>
    </x:xf>
    <x:xf numFmtId="201" fontId="6" fillId="7" borderId="16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 wrapText="1"/>
    </x:xf>
    <x:xf numFmtId="0" fontId="3" fillId="8" borderId="6" xfId="0" applyNumberFormat="1" applyFont="1" applyFill="1" applyBorder="1" applyAlignment="1">
      <x:alignment horizontal="center" vertical="center" wrapText="1"/>
    </x:xf>
    <x:xf numFmtId="0" fontId="0" fillId="8" borderId="15" xfId="0" applyNumberFormat="1" applyFont="1" applyFill="1" applyBorder="1" applyAlignment="1">
      <x:alignment horizontal="center" vertical="center" wrapText="1"/>
    </x:xf>
    <x:xf numFmtId="0" fontId="3" fillId="8" borderId="15" xfId="0" applyNumberFormat="1" applyFont="1" applyFill="1" applyBorder="1" applyAlignment="1">
      <x:alignment horizontal="center" vertical="center" wrapText="1"/>
    </x:xf>
    <x:xf numFmtId="0" fontId="0" fillId="4" borderId="9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4" borderId="18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201" fontId="0" fillId="5" borderId="9" xfId="0" applyNumberFormat="1" applyFont="1" applyFill="1" applyBorder="1" applyAlignment="1">
      <x:alignment horizontal="center" vertical="center" wrapText="1"/>
    </x:xf>
    <x:xf numFmtId="201" fontId="0" fillId="5" borderId="10" xfId="0" applyNumberFormat="1" applyFont="1" applyFill="1" applyBorder="1" applyAlignment="1">
      <x:alignment horizontal="center" vertical="center" wrapText="1"/>
    </x:xf>
    <x:xf numFmtId="201" fontId="4" fillId="5" borderId="9" xfId="0" applyNumberFormat="1" applyFont="1" applyFill="1" applyBorder="1" applyAlignment="1">
      <x:alignment horizontal="center" vertical="center" wrapText="1"/>
    </x:xf>
    <x:xf numFmtId="201" fontId="4" fillId="5" borderId="10" xfId="0" applyNumberFormat="1" applyFont="1" applyFill="1" applyBorder="1" applyAlignment="1">
      <x:alignment horizontal="center" vertical="center" wrapText="1"/>
    </x:xf>
    <x:xf numFmtId="201" fontId="0" fillId="5" borderId="18" xfId="0" applyNumberFormat="1" applyFont="1" applyFill="1" applyBorder="1" applyAlignment="1">
      <x:alignment horizontal="center" vertical="center" wrapText="1"/>
    </x:xf>
    <x:xf numFmtId="201" fontId="0" fillId="5" borderId="19" xfId="0" applyNumberFormat="1" applyFont="1" applyFill="1" applyBorder="1" applyAlignment="1">
      <x:alignment horizontal="center" vertical="center" wrapText="1"/>
    </x:xf>
    <x:xf numFmtId="201" fontId="4" fillId="5" borderId="18" xfId="0" applyNumberFormat="1" applyFont="1" applyFill="1" applyBorder="1" applyAlignment="1">
      <x:alignment horizontal="center" vertical="center" wrapText="1"/>
    </x:xf>
    <x:xf numFmtId="201" fontId="4" fillId="5" borderId="1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7" fillId="9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7" fillId="9" borderId="8" xfId="0" applyNumberFormat="1" applyFont="1" applyFill="1" applyBorder="1" applyAlignment="1">
      <x:alignment vertical="center" wrapText="1"/>
    </x:xf>
    <x:xf numFmtId="0" fontId="7" fillId="9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7" fillId="9" borderId="14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7" fillId="9" borderId="17" xfId="0" applyNumberFormat="1" applyFont="1" applyFill="1" applyBorder="1" applyAlignment="1">
      <x:alignment vertical="center" wrapText="1"/>
    </x:xf>
    <x:xf numFmtId="0" fontId="7" fillId="9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1" fontId="0" fillId="0" borderId="18" xfId="0" applyNumberFormat="1" applyFont="1" applyFill="1" applyBorder="1"/>
    <x:xf numFmtId="201" fontId="0" fillId="0" borderId="19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0" fontId="0" fillId="10" borderId="7" xfId="0" applyNumberFormat="1" applyFont="1" applyFill="1" applyBorder="1" applyAlignment="1">
      <x:alignment vertical="top" wrapText="1"/>
    </x:xf>
    <x:xf numFmtId="0" fontId="0" fillId="10" borderId="8" xfId="0" applyNumberFormat="1" applyFont="1" applyFill="1" applyBorder="1" applyAlignment="1">
      <x:alignment vertical="top" wrapText="1"/>
    </x:xf>
    <x:xf numFmtId="0" fontId="0" fillId="10" borderId="9" xfId="0" applyNumberFormat="1" applyFont="1" applyFill="1" applyBorder="1" applyAlignment="1">
      <x:alignment vertical="top" wrapText="1"/>
    </x:xf>
    <x:xf numFmtId="0" fontId="0" fillId="10" borderId="10" xfId="0" applyNumberFormat="1" applyFont="1" applyFill="1" applyBorder="1" applyAlignment="1">
      <x:alignment vertical="top" wrapText="1"/>
    </x:xf>
    <x:xf numFmtId="0" fontId="0" fillId="10" borderId="14" xfId="0" applyNumberFormat="1" applyFont="1" applyFill="1" applyBorder="1" applyAlignment="1">
      <x:alignment vertical="top" wrapText="1"/>
    </x:xf>
    <x:xf numFmtId="0" fontId="0" fillId="10" borderId="15" xfId="0" applyNumberFormat="1" applyFont="1" applyFill="1" applyBorder="1" applyAlignment="1">
      <x:alignment vertical="top" wrapText="1"/>
    </x:xf>
    <x:xf numFmtId="0" fontId="0" fillId="10" borderId="16" xfId="0" applyNumberFormat="1" applyFont="1" applyFill="1" applyBorder="1" applyAlignment="1">
      <x:alignment vertical="top" wrapText="1"/>
    </x:xf>
    <x:xf numFmtId="0" fontId="0" fillId="10" borderId="17" xfId="0" applyNumberFormat="1" applyFont="1" applyFill="1" applyBorder="1" applyAlignment="1">
      <x:alignment vertical="top" wrapText="1"/>
    </x:xf>
    <x:xf numFmtId="0" fontId="0" fillId="10" borderId="18" xfId="0" applyNumberFormat="1" applyFont="1" applyFill="1" applyBorder="1" applyAlignment="1">
      <x:alignment vertical="top" wrapText="1"/>
    </x:xf>
    <x:xf numFmtId="0" fontId="0" fillId="10" borderId="19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e461285004232" /><Relationship Type="http://schemas.openxmlformats.org/officeDocument/2006/relationships/theme" Target="/xl/theme/theme1.xml" Id="Rd274de11ec904cf5" /><Relationship Type="http://schemas.openxmlformats.org/officeDocument/2006/relationships/sharedStrings" Target="/xl/sharedStrings.xml" Id="R3fdcd51f1e514842" /><Relationship Type="http://schemas.openxmlformats.org/officeDocument/2006/relationships/worksheet" Target="/xl/worksheets/sheet1.xml" Id="Rffaaec7526844dae" /><Relationship Type="http://schemas.openxmlformats.org/officeDocument/2006/relationships/worksheet" Target="/xl/worksheets/sheet2.xml" Id="R06cf7ffc002140c3" /><Relationship Type="http://schemas.openxmlformats.org/officeDocument/2006/relationships/worksheet" Target="/xl/worksheets/sheet3.xml" Id="R2d669eb9944f40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90fc9d8bdb43b5" /><Relationship Type="http://schemas.openxmlformats.org/officeDocument/2006/relationships/chart" Target="/xl/drawings/charts/chart2.xml" Id="R44f5e474d20b4b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Estado de corrientes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'Resumen'!$A$6:$A$8</c:f>
              <c:strCache>
                <c:ptCount val="0"/>
              </c:strCache>
            </c:strRef>
          </c:cat>
          <c:val>
            <c:numRef>
              <c:f>'Resumen'!$B$6:$B$8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Heat Flow por corriente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Heat Flow [kJ/h]</c:v>
          </c:tx>
          <c:cat>
            <c:strRef>
              <c:f>'Resumen'!$L$5:$L$38</c:f>
              <c:strCache>
                <c:ptCount val="0"/>
              </c:strCache>
            </c:strRef>
          </c:cat>
          <c:val>
            <c:numRef>
              <c:f>'Resumen'!$M$5:$M$38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90fc9d8bdb43b5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f5e474d20b4b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PropiedadesSinNada" displayName="TablaPropiedadesSinNada" ref="A4:L38" headerRowCount="1">
  <x:tableColumns count="12">
    <x:tableColumn id="1" name="No."/>
    <x:tableColumn id="2" name="Stream Name"/>
    <x:tableColumn id="3" name="Clasificación"/>
    <x:tableColumn id="4" name="Vapour Fraction"/>
    <x:tableColumn id="5" name="Estado estimado"/>
    <x:tableColumn id="6" name="Temperature [°C]"/>
    <x:tableColumn id="7" name="Pressure [atm]"/>
    <x:tableColumn id="8" name="Molar Flow [kgmol/h]"/>
    <x:tableColumn id="9" name="Mass Flow [kg/h]"/>
    <x:tableColumn id="10" name="Liquid Volume Flow [m³/h]"/>
    <x:tableColumn id="11" name="Heat Flow [kJ/h]"/>
    <x:tableColumn id="12" name="Heat Flow [kW]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7728bc7a394a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ea26880282644d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2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" t="str">
        <x:v>Tabla ordenada de propiedades de corrientes – Planta de Anilina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28" t="str">
        <x:v>No.</x:v>
      </x:c>
      <x:c r="B4" s="29" t="str">
        <x:v>Stream Name</x:v>
      </x:c>
      <x:c r="C4" s="29" t="str">
        <x:v>Clasificación</x:v>
      </x:c>
      <x:c r="D4" s="29" t="str">
        <x:v>Vapour Fraction</x:v>
      </x:c>
      <x:c r="E4" s="29" t="str">
        <x:v>Estado estimado</x:v>
      </x:c>
      <x:c r="F4" s="29" t="str">
        <x:v>Temperature [°C]</x:v>
      </x:c>
      <x:c r="G4" s="29" t="str">
        <x:v>Pressure [atm]</x:v>
      </x:c>
      <x:c r="H4" s="29" t="str">
        <x:v>Molar Flow [kgmol/h]</x:v>
      </x:c>
      <x:c r="I4" s="29" t="str">
        <x:v>Mass Flow [kg/h]</x:v>
      </x:c>
      <x:c r="J4" s="29" t="str">
        <x:v>Liquid Volume Flow [m³/h]</x:v>
      </x:c>
      <x:c r="K4" s="29" t="str">
        <x:v>Heat Flow [kJ/h]</x:v>
      </x:c>
      <x:c r="L4" s="30" t="str">
        <x:v>Heat Flow [kW]</x:v>
      </x:c>
    </x:row>
    <x:row r="5">
      <x:c r="A5" s="31" t="n">
        <x:v>1</x:v>
      </x:c>
      <x:c r="B5" s="32" t="str">
        <x:v>NB Fresh</x:v>
      </x:c>
      <x:c r="C5" s="32" t="str">
        <x:v>Nitrobenceno / orgánica</x:v>
      </x:c>
      <x:c r="D5" s="50" t="n">
        <x:v>0</x:v>
      </x:c>
      <x:c r="E5" s="63" t="str">
        <x:v>Líquido</x:v>
      </x:c>
      <x:c r="F5" s="54" t="n">
        <x:v>25</x:v>
      </x:c>
      <x:c r="G5" s="54" t="n">
        <x:v>1</x:v>
      </x:c>
      <x:c r="H5" s="54" t="n">
        <x:v>41.61745641</x:v>
      </x:c>
      <x:c r="I5" s="54" t="n">
        <x:v>5123.5</x:v>
      </x:c>
      <x:c r="J5" s="54" t="n">
        <x:v>4.246369639</x:v>
      </x:c>
      <x:c r="K5" s="68" t="n">
        <x:v>915890.1659</x:v>
      </x:c>
      <x:c r="L5" s="69" t="n">
        <x:f>K5/3600</x:f>
        <x:v>254.41393497222222</x:v>
      </x:c>
    </x:row>
    <x:row r="6">
      <x:c r="A6" s="31" t="n">
        <x:v>2</x:v>
      </x:c>
      <x:c r="B6" s="32" t="str">
        <x:v>H2-FRESH</x:v>
      </x:c>
      <x:c r="C6" s="32" t="str">
        <x:v>Gas / hidrógeno</x:v>
      </x:c>
      <x:c r="D6" s="50" t="n">
        <x:v>1</x:v>
      </x:c>
      <x:c r="E6" s="75" t="str">
        <x:v>Vapor</x:v>
      </x:c>
      <x:c r="F6" s="54" t="n">
        <x:v>25</x:v>
      </x:c>
      <x:c r="G6" s="54" t="n">
        <x:v>1</x:v>
      </x:c>
      <x:c r="H6" s="54" t="n">
        <x:v>135</x:v>
      </x:c>
      <x:c r="I6" s="54" t="n">
        <x:v>272.1600044</x:v>
      </x:c>
      <x:c r="J6" s="54" t="n">
        <x:v>3.895841817</x:v>
      </x:c>
      <x:c r="K6" s="80" t="n">
        <x:v>0</x:v>
      </x:c>
      <x:c r="L6" s="81" t="n">
        <x:f>K6/3600</x:f>
        <x:v>0</x:v>
      </x:c>
    </x:row>
    <x:row r="7">
      <x:c r="A7" s="31" t="n">
        <x:v>3</x:v>
      </x:c>
      <x:c r="B7" s="32" t="str">
        <x:v>NB-310</x:v>
      </x:c>
      <x:c r="C7" s="32" t="str">
        <x:v>Nitrobenceno / orgánica</x:v>
      </x:c>
      <x:c r="D7" s="50" t="n">
        <x:v>1</x:v>
      </x:c>
      <x:c r="E7" s="75" t="str">
        <x:v>Vapor</x:v>
      </x:c>
      <x:c r="F7" s="54" t="n">
        <x:v>310</x:v>
      </x:c>
      <x:c r="G7" s="54" t="n">
        <x:v>1</x:v>
      </x:c>
      <x:c r="H7" s="54" t="n">
        <x:v>42.48711689</x:v>
      </x:c>
      <x:c r="I7" s="54" t="n">
        <x:v>5230.56333</x:v>
      </x:c>
      <x:c r="J7" s="54" t="n">
        <x:v>4.335104017</x:v>
      </x:c>
      <x:c r="K7" s="68" t="n">
        <x:v>4841657.061</x:v>
      </x:c>
      <x:c r="L7" s="69" t="n">
        <x:f>K7/3600</x:f>
        <x:v>1344.9047391666666</x:v>
      </x:c>
    </x:row>
    <x:row r="8">
      <x:c r="A8" s="31" t="n">
        <x:v>4</x:v>
      </x:c>
      <x:c r="B8" s="32" t="str">
        <x:v>H2-310</x:v>
      </x:c>
      <x:c r="C8" s="32" t="str">
        <x:v>Gas / hidrógeno</x:v>
      </x:c>
      <x:c r="D8" s="50" t="n">
        <x:v>1</x:v>
      </x:c>
      <x:c r="E8" s="75" t="str">
        <x:v>Vapor</x:v>
      </x:c>
      <x:c r="F8" s="54" t="n">
        <x:v>310</x:v>
      </x:c>
      <x:c r="G8" s="54" t="n">
        <x:v>1</x:v>
      </x:c>
      <x:c r="H8" s="54" t="n">
        <x:v>213.105467</x:v>
      </x:c>
      <x:c r="I8" s="54" t="n">
        <x:v>460.0916729</x:v>
      </x:c>
      <x:c r="J8" s="54" t="n">
        <x:v>6.135223114</x:v>
      </x:c>
      <x:c r="K8" s="68" t="n">
        <x:v>1364430.939</x:v>
      </x:c>
      <x:c r="L8" s="69" t="n">
        <x:f>K8/3600</x:f>
        <x:v>379.0085941666667</x:v>
      </x:c>
    </x:row>
    <x:row r="9">
      <x:c r="A9" s="31" t="n">
        <x:v>5</x:v>
      </x:c>
      <x:c r="B9" s="32" t="str">
        <x:v>MIX-GAS</x:v>
      </x:c>
      <x:c r="C9" s="32" t="str">
        <x:v>Gas / hidrógeno</x:v>
      </x:c>
      <x:c r="D9" s="50" t="n">
        <x:v>1</x:v>
      </x:c>
      <x:c r="E9" s="75" t="str">
        <x:v>Vapor</x:v>
      </x:c>
      <x:c r="F9" s="54" t="n">
        <x:v>309.9999973</x:v>
      </x:c>
      <x:c r="G9" s="54" t="n">
        <x:v>1</x:v>
      </x:c>
      <x:c r="H9" s="54" t="n">
        <x:v>255.5925839</x:v>
      </x:c>
      <x:c r="I9" s="54" t="n">
        <x:v>5690.655003</x:v>
      </x:c>
      <x:c r="J9" s="54" t="n">
        <x:v>10.47032713</x:v>
      </x:c>
      <x:c r="K9" s="68" t="n">
        <x:v>6206087.999</x:v>
      </x:c>
      <x:c r="L9" s="69" t="n">
        <x:f>K9/3600</x:f>
        <x:v>1723.9133330555555</x:v>
      </x:c>
    </x:row>
    <x:row r="10">
      <x:c r="A10" s="31" t="n">
        <x:v>6</x:v>
      </x:c>
      <x:c r="B10" s="32" t="str">
        <x:v>GAS-5BAR</x:v>
      </x:c>
      <x:c r="C10" s="32" t="str">
        <x:v>Gas / hidrógeno</x:v>
      </x:c>
      <x:c r="D10" s="50" t="n">
        <x:v>1</x:v>
      </x:c>
      <x:c r="E10" s="75" t="str">
        <x:v>Vapor</x:v>
      </x:c>
      <x:c r="F10" s="54" t="n">
        <x:v>495.7275416</x:v>
      </x:c>
      <x:c r="G10" s="54" t="n">
        <x:v>4.9346165</x:v>
      </x:c>
      <x:c r="H10" s="54" t="n">
        <x:v>255.5925839</x:v>
      </x:c>
      <x:c r="I10" s="54" t="n">
        <x:v>5690.655003</x:v>
      </x:c>
      <x:c r="J10" s="54" t="n">
        <x:v>10.47032713</x:v>
      </x:c>
      <x:c r="K10" s="68" t="n">
        <x:v>9155190.824</x:v>
      </x:c>
      <x:c r="L10" s="69" t="n">
        <x:f>K10/3600</x:f>
        <x:v>2543.108562222222</x:v>
      </x:c>
    </x:row>
    <x:row r="11">
      <x:c r="A11" s="31" t="n">
        <x:v>7</x:v>
      </x:c>
      <x:c r="B11" s="32" t="str">
        <x:v>GAS-340</x:v>
      </x:c>
      <x:c r="C11" s="32" t="str">
        <x:v>Gas / hidrógeno</x:v>
      </x:c>
      <x:c r="D11" s="50" t="n">
        <x:v>1</x:v>
      </x:c>
      <x:c r="E11" s="75" t="str">
        <x:v>Vapor</x:v>
      </x:c>
      <x:c r="F11" s="54" t="n">
        <x:v>340</x:v>
      </x:c>
      <x:c r="G11" s="54" t="n">
        <x:v>4.9346165</x:v>
      </x:c>
      <x:c r="H11" s="54" t="n">
        <x:v>255.5925839</x:v>
      </x:c>
      <x:c r="I11" s="54" t="n">
        <x:v>5690.655003</x:v>
      </x:c>
      <x:c r="J11" s="54" t="n">
        <x:v>10.47032713</x:v>
      </x:c>
      <x:c r="K11" s="68" t="n">
        <x:v>6658375.206</x:v>
      </x:c>
      <x:c r="L11" s="69" t="n">
        <x:f>K11/3600</x:f>
        <x:v>1849.5486683333334</x:v>
      </x:c>
    </x:row>
    <x:row r="12">
      <x:c r="A12" s="31" t="n">
        <x:v>8</x:v>
      </x:c>
      <x:c r="B12" s="32" t="str">
        <x:v>RX-OUT</x:v>
      </x:c>
      <x:c r="C12" s="32" t="str">
        <x:v>Proceso</x:v>
      </x:c>
      <x:c r="D12" s="50" t="n">
        <x:v>1</x:v>
      </x:c>
      <x:c r="E12" s="75" t="str">
        <x:v>Vapor</x:v>
      </x:c>
      <x:c r="F12" s="54" t="n">
        <x:v>340</x:v>
      </x:c>
      <x:c r="G12" s="54" t="n">
        <x:v>4.9346165</x:v>
      </x:c>
      <x:c r="H12" s="54" t="n">
        <x:v>214.8025789</x:v>
      </x:c>
      <x:c r="I12" s="54" t="n">
        <x:v>5690.716319</x:v>
      </x:c>
      <x:c r="J12" s="54" t="n">
        <x:v>7.95786128</x:v>
      </x:c>
      <x:c r="K12" s="88" t="n">
        <x:v>-12552120.52</x:v>
      </x:c>
      <x:c r="L12" s="89" t="n">
        <x:f>K12/3600</x:f>
        <x:v>-3486.7001444444445</x:v>
      </x:c>
    </x:row>
    <x:row r="13">
      <x:c r="A13" s="31" t="n">
        <x:v>9</x:v>
      </x:c>
      <x:c r="B13" s="32" t="str">
        <x:v>GAS-250</x:v>
      </x:c>
      <x:c r="C13" s="32" t="str">
        <x:v>Gas / hidrógeno</x:v>
      </x:c>
      <x:c r="D13" s="50" t="n">
        <x:v>1</x:v>
      </x:c>
      <x:c r="E13" s="75" t="str">
        <x:v>Vapor</x:v>
      </x:c>
      <x:c r="F13" s="54" t="n">
        <x:v>250</x:v>
      </x:c>
      <x:c r="G13" s="54" t="n">
        <x:v>4.9346165</x:v>
      </x:c>
      <x:c r="H13" s="54" t="n">
        <x:v>214.8025789</x:v>
      </x:c>
      <x:c r="I13" s="54" t="n">
        <x:v>5690.716319</x:v>
      </x:c>
      <x:c r="J13" s="54" t="n">
        <x:v>7.95786128</x:v>
      </x:c>
      <x:c r="K13" s="88" t="n">
        <x:v>-13772942.72</x:v>
      </x:c>
      <x:c r="L13" s="89" t="n">
        <x:f>K13/3600</x:f>
        <x:v>-3825.8174222222224</x:v>
      </x:c>
    </x:row>
    <x:row r="14">
      <x:c r="A14" s="31" t="n">
        <x:v>10</x:v>
      </x:c>
      <x:c r="B14" s="32" t="str">
        <x:v>GAS-30</x:v>
      </x:c>
      <x:c r="C14" s="32" t="str">
        <x:v>Gas / hidrógeno</x:v>
      </x:c>
      <x:c r="D14" s="50" t="n">
        <x:v>0.423661561</x:v>
      </x:c>
      <x:c r="E14" s="95" t="str">
        <x:v>Dos fases</x:v>
      </x:c>
      <x:c r="F14" s="54" t="n">
        <x:v>30</x:v>
      </x:c>
      <x:c r="G14" s="54" t="n">
        <x:v>2</x:v>
      </x:c>
      <x:c r="H14" s="54" t="n">
        <x:v>214.8025789</x:v>
      </x:c>
      <x:c r="I14" s="54" t="n">
        <x:v>5690.716319</x:v>
      </x:c>
      <x:c r="J14" s="54" t="n">
        <x:v>7.95786128</x:v>
      </x:c>
      <x:c r="K14" s="88" t="n">
        <x:v>-22023620.73</x:v>
      </x:c>
      <x:c r="L14" s="89" t="n">
        <x:f>K14/3600</x:f>
        <x:v>-6117.672425</x:v>
      </x:c>
    </x:row>
    <x:row r="15">
      <x:c r="A15" s="31" t="n">
        <x:v>11</x:v>
      </x:c>
      <x:c r="B15" s="32" t="str">
        <x:v>H2-SPLIT</x:v>
      </x:c>
      <x:c r="C15" s="32" t="str">
        <x:v>Gas / hidrógeno</x:v>
      </x:c>
      <x:c r="D15" s="50" t="n">
        <x:v>1</x:v>
      </x:c>
      <x:c r="E15" s="75" t="str">
        <x:v>Vapor</x:v>
      </x:c>
      <x:c r="F15" s="54" t="n">
        <x:v>30</x:v>
      </x:c>
      <x:c r="G15" s="54" t="n">
        <x:v>2</x:v>
      </x:c>
      <x:c r="H15" s="54" t="n">
        <x:v>91.00359595</x:v>
      </x:c>
      <x:c r="I15" s="54" t="n">
        <x:v>218.9662035</x:v>
      </x:c>
      <x:c r="J15" s="54" t="n">
        <x:v>2.609186765</x:v>
      </x:c>
      <x:c r="K15" s="88" t="n">
        <x:v>-438934.2396</x:v>
      </x:c>
      <x:c r="L15" s="89" t="n">
        <x:f>K15/3600</x:f>
        <x:v>-121.92617766666666</x:v>
      </x:c>
    </x:row>
    <x:row r="16">
      <x:c r="A16" s="31" t="n">
        <x:v>12</x:v>
      </x:c>
      <x:c r="B16" s="32" t="str">
        <x:v>LIQ-SPLIT</x:v>
      </x:c>
      <x:c r="C16" s="32" t="str">
        <x:v>Fase orgánica / líquida</x:v>
      </x:c>
      <x:c r="D16" s="50" t="n">
        <x:v>0</x:v>
      </x:c>
      <x:c r="E16" s="63" t="str">
        <x:v>Líquido</x:v>
      </x:c>
      <x:c r="F16" s="54" t="n">
        <x:v>30</x:v>
      </x:c>
      <x:c r="G16" s="54" t="n">
        <x:v>2</x:v>
      </x:c>
      <x:c r="H16" s="54" t="n">
        <x:v>123.798983</x:v>
      </x:c>
      <x:c r="I16" s="54" t="n">
        <x:v>5471.750116</x:v>
      </x:c>
      <x:c r="J16" s="54" t="n">
        <x:v>5.348674515</x:v>
      </x:c>
      <x:c r="K16" s="88" t="n">
        <x:v>-21584686.5</x:v>
      </x:c>
      <x:c r="L16" s="89" t="n">
        <x:f>K16/3600</x:f>
        <x:v>-5995.74625</x:v>
      </x:c>
    </x:row>
    <x:row r="17">
      <x:c r="A17" s="31" t="n">
        <x:v>13</x:v>
      </x:c>
      <x:c r="B17" s="32" t="str">
        <x:v>ORG-110</x:v>
      </x:c>
      <x:c r="C17" s="32" t="str">
        <x:v>Fase orgánica / líquida</x:v>
      </x:c>
      <x:c r="D17" s="50" t="n">
        <x:v>0.137997775</x:v>
      </x:c>
      <x:c r="E17" s="95" t="str">
        <x:v>Dos fases</x:v>
      </x:c>
      <x:c r="F17" s="54" t="n">
        <x:v>110</x:v>
      </x:c>
      <x:c r="G17" s="54" t="n">
        <x:v>1</x:v>
      </x:c>
      <x:c r="H17" s="54" t="n">
        <x:v>56.04134002</x:v>
      </x:c>
      <x:c r="I17" s="54" t="n">
        <x:v>4219.974365</x:v>
      </x:c>
      <x:c r="J17" s="54" t="n">
        <x:v>4.095381846</x:v>
      </x:c>
      <x:c r="K17" s="88" t="n">
        <x:v>-1438633.791</x:v>
      </x:c>
      <x:c r="L17" s="89" t="n">
        <x:f>K17/3600</x:f>
        <x:v>-399.6204975</x:v>
      </x:c>
    </x:row>
    <x:row r="18">
      <x:c r="A18" s="31" t="n">
        <x:v>14</x:v>
      </x:c>
      <x:c r="B18" s="32" t="str">
        <x:v>AN-NB FONDO</x:v>
      </x:c>
      <x:c r="C18" s="32" t="str">
        <x:v>Nitrobenceno / orgánica</x:v>
      </x:c>
      <x:c r="D18" s="50" t="n">
        <x:v>0</x:v>
      </x:c>
      <x:c r="E18" s="63" t="str">
        <x:v>Líquido</x:v>
      </x:c>
      <x:c r="F18" s="54" t="n">
        <x:v>179.3166253</x:v>
      </x:c>
      <x:c r="G18" s="54" t="n">
        <x:v>1</x:v>
      </x:c>
      <x:c r="H18" s="54" t="n">
        <x:v>41.61610654</x:v>
      </x:c>
      <x:c r="I18" s="54" t="n">
        <x:v>3918.205881</x:v>
      </x:c>
      <x:c r="J18" s="54" t="n">
        <x:v>3.795379195</x:v>
      </x:c>
      <x:c r="K18" s="68" t="n">
        <x:v>2667470.562</x:v>
      </x:c>
      <x:c r="L18" s="69" t="n">
        <x:f>K18/3600</x:f>
        <x:v>740.9640449999999</x:v>
      </x:c>
    </x:row>
    <x:row r="19">
      <x:c r="A19" s="31" t="n">
        <x:v>15</x:v>
      </x:c>
      <x:c r="B19" s="32" t="str">
        <x:v>H2O-NB</x:v>
      </x:c>
      <x:c r="C19" s="32" t="str">
        <x:v>Fase acuosa</x:v>
      </x:c>
      <x:c r="D19" s="50" t="n">
        <x:v>0</x:v>
      </x:c>
      <x:c r="E19" s="63" t="str">
        <x:v>Líquido</x:v>
      </x:c>
      <x:c r="F19" s="54" t="n">
        <x:v>95.09446609</x:v>
      </x:c>
      <x:c r="G19" s="54" t="n">
        <x:v>1</x:v>
      </x:c>
      <x:c r="H19" s="54" t="n">
        <x:v>14.35523322</x:v>
      </x:c>
      <x:c r="I19" s="54" t="n">
        <x:v>300.0638699</x:v>
      </x:c>
      <x:c r="J19" s="54" t="n">
        <x:v>0.29818403</x:v>
      </x:c>
      <x:c r="K19" s="88" t="n">
        <x:v>-3841886.934</x:v>
      </x:c>
      <x:c r="L19" s="89" t="n">
        <x:f>K19/3600</x:f>
        <x:v>-1067.190815</x:v>
      </x:c>
    </x:row>
    <x:row r="20">
      <x:c r="A20" s="31" t="n">
        <x:v>16</x:v>
      </x:c>
      <x:c r="B20" s="32" t="str">
        <x:v>AN-NB-110</x:v>
      </x:c>
      <x:c r="C20" s="32" t="str">
        <x:v>Nitrobenceno / orgánica</x:v>
      </x:c>
      <x:c r="D20" s="50" t="n">
        <x:v>0</x:v>
      </x:c>
      <x:c r="E20" s="63" t="str">
        <x:v>Líquido</x:v>
      </x:c>
      <x:c r="F20" s="54" t="n">
        <x:v>110</x:v>
      </x:c>
      <x:c r="G20" s="54" t="n">
        <x:v>1</x:v>
      </x:c>
      <x:c r="H20" s="54" t="n">
        <x:v>41.61610654</x:v>
      </x:c>
      <x:c r="I20" s="54" t="n">
        <x:v>3918.205881</x:v>
      </x:c>
      <x:c r="J20" s="54" t="n">
        <x:v>3.795379195</x:v>
      </x:c>
      <x:c r="K20" s="68" t="n">
        <x:v>2086992.654</x:v>
      </x:c>
      <x:c r="L20" s="69" t="n">
        <x:f>K20/3600</x:f>
        <x:v>579.7201816666667</x:v>
      </x:c>
    </x:row>
    <x:row r="21">
      <x:c r="A21" s="31" t="n">
        <x:v>17</x:v>
      </x:c>
      <x:c r="B21" s="32" t="str">
        <x:v>H2-ANTORCHA</x:v>
      </x:c>
      <x:c r="C21" s="32" t="str">
        <x:v>Gas / hidrógeno</x:v>
      </x:c>
      <x:c r="D21" s="50" t="n">
        <x:v>0.979861671</x:v>
      </x:c>
      <x:c r="E21" s="95" t="str">
        <x:v>Dos fases</x:v>
      </x:c>
      <x:c r="F21" s="54" t="n">
        <x:v>115.0786035</x:v>
      </x:c>
      <x:c r="G21" s="54" t="n">
        <x:v>1</x:v>
      </x:c>
      <x:c r="H21" s="54" t="n">
        <x:v>0.070000264</x:v>
      </x:c>
      <x:c r="I21" s="54" t="n">
        <x:v>1.704613776</x:v>
      </x:c>
      <x:c r="J21" s="54" t="n">
        <x:v>0.001818621</x:v>
      </x:c>
      <x:c r="K21" s="88" t="n">
        <x:v>-13090.89201</x:v>
      </x:c>
      <x:c r="L21" s="89" t="n">
        <x:f>K21/3600</x:f>
        <x:v>-3.6363588916666667</x:v>
      </x:c>
    </x:row>
    <x:row r="22">
      <x:c r="A22" s="31" t="n">
        <x:v>18</x:v>
      </x:c>
      <x:c r="B22" s="32" t="str">
        <x:v>ORGANICA</x:v>
      </x:c>
      <x:c r="C22" s="32" t="str">
        <x:v>Fase orgánica / líquida</x:v>
      </x:c>
      <x:c r="D22" s="50" t="n">
        <x:v>0</x:v>
      </x:c>
      <x:c r="E22" s="63" t="str">
        <x:v>Líquido</x:v>
      </x:c>
      <x:c r="F22" s="54" t="n">
        <x:v>30</x:v>
      </x:c>
      <x:c r="G22" s="54" t="n">
        <x:v>2</x:v>
      </x:c>
      <x:c r="H22" s="54" t="n">
        <x:v>56.04134002</x:v>
      </x:c>
      <x:c r="I22" s="54" t="n">
        <x:v>4219.974365</x:v>
      </x:c>
      <x:c r="J22" s="54" t="n">
        <x:v>4.095381846</x:v>
      </x:c>
      <x:c r="K22" s="88" t="n">
        <x:v>-2439672.883</x:v>
      </x:c>
      <x:c r="L22" s="89" t="n">
        <x:f>K22/3600</x:f>
        <x:v>-677.6869119444444</x:v>
      </x:c>
    </x:row>
    <x:row r="23">
      <x:c r="A23" s="31" t="n">
        <x:v>19</x:v>
      </x:c>
      <x:c r="B23" s="32" t="str">
        <x:v>H2O-FONDO_1</x:v>
      </x:c>
      <x:c r="C23" s="32" t="str">
        <x:v>Fase acuosa</x:v>
      </x:c>
      <x:c r="D23" s="50" t="n">
        <x:v>0</x:v>
      </x:c>
      <x:c r="E23" s="63" t="str">
        <x:v>Líquido</x:v>
      </x:c>
      <x:c r="F23" s="54" t="n">
        <x:v>30</x:v>
      </x:c>
      <x:c r="G23" s="54" t="n">
        <x:v>2</x:v>
      </x:c>
      <x:c r="H23" s="54" t="n">
        <x:v>67.75764293</x:v>
      </x:c>
      <x:c r="I23" s="54" t="n">
        <x:v>1251.775751</x:v>
      </x:c>
      <x:c r="J23" s="54" t="n">
        <x:v>1.253292669</x:v>
      </x:c>
      <x:c r="K23" s="88" t="n">
        <x:v>-19145013.61</x:v>
      </x:c>
      <x:c r="L23" s="89" t="n">
        <x:f>K23/3600</x:f>
        <x:v>-5318.0593361111105</x:v>
      </x:c>
    </x:row>
    <x:row r="24">
      <x:c r="A24" s="31" t="n">
        <x:v>20</x:v>
      </x:c>
      <x:c r="B24" s="32" t="str">
        <x:v>ANILINA-NB-SEP</x:v>
      </x:c>
      <x:c r="C24" s="32" t="str">
        <x:v>Producto / anilina</x:v>
      </x:c>
      <x:c r="D24" s="50" t="n">
        <x:v>0</x:v>
      </x:c>
      <x:c r="E24" s="63" t="str">
        <x:v>Líquido</x:v>
      </x:c>
      <x:c r="F24" s="54" t="n">
        <x:v>95.09446609</x:v>
      </x:c>
      <x:c r="G24" s="54" t="n">
        <x:v>1</x:v>
      </x:c>
      <x:c r="H24" s="54" t="n">
        <x:v>0.344809763</x:v>
      </x:c>
      <x:c r="I24" s="54" t="n">
        <x:v>30.45155219</x:v>
      </x:c>
      <x:c r="J24" s="54" t="n">
        <x:v>0.028649362</x:v>
      </x:c>
      <x:c r="K24" s="68" t="n">
        <x:v>592.4596712</x:v>
      </x:c>
      <x:c r="L24" s="69" t="n">
        <x:f>K24/3600</x:f>
        <x:v>0.1645721308888889</x:v>
      </x:c>
    </x:row>
    <x:row r="25">
      <x:c r="A25" s="31" t="n">
        <x:v>21</x:v>
      </x:c>
      <x:c r="B25" s="32" t="str">
        <x:v>H2O-FONDO_2</x:v>
      </x:c>
      <x:c r="C25" s="32" t="str">
        <x:v>Fase acuosa</x:v>
      </x:c>
      <x:c r="D25" s="50" t="n">
        <x:v>0</x:v>
      </x:c>
      <x:c r="E25" s="63" t="str">
        <x:v>Líquido</x:v>
      </x:c>
      <x:c r="F25" s="54" t="n">
        <x:v>95.09446609</x:v>
      </x:c>
      <x:c r="G25" s="54" t="n">
        <x:v>1</x:v>
      </x:c>
      <x:c r="H25" s="54" t="n">
        <x:v>14.01042345</x:v>
      </x:c>
      <x:c r="I25" s="54" t="n">
        <x:v>269.6123177</x:v>
      </x:c>
      <x:c r="J25" s="54" t="n">
        <x:v>0.269534669</x:v>
      </x:c>
      <x:c r="K25" s="88" t="n">
        <x:v>-3842479.394</x:v>
      </x:c>
      <x:c r="L25" s="89" t="n">
        <x:f>K25/3600</x:f>
        <x:v>-1067.3553872222221</x:v>
      </x:c>
    </x:row>
    <x:row r="26">
      <x:c r="A26" s="31" t="n">
        <x:v>22</x:v>
      </x:c>
      <x:c r="B26" s="32" t="str">
        <x:v>H2-1ATM</x:v>
      </x:c>
      <x:c r="C26" s="32" t="str">
        <x:v>Gas / hidrógeno</x:v>
      </x:c>
      <x:c r="D26" s="50" t="n">
        <x:v>1</x:v>
      </x:c>
      <x:c r="E26" s="75" t="str">
        <x:v>Vapor</x:v>
      </x:c>
      <x:c r="F26" s="54" t="n">
        <x:v>30</x:v>
      </x:c>
      <x:c r="G26" s="54" t="n">
        <x:v>1</x:v>
      </x:c>
      <x:c r="H26" s="54" t="n">
        <x:v>91.00359595</x:v>
      </x:c>
      <x:c r="I26" s="54" t="n">
        <x:v>218.9662035</x:v>
      </x:c>
      <x:c r="J26" s="54" t="n">
        <x:v>2.609186765</x:v>
      </x:c>
      <x:c r="K26" s="88" t="n">
        <x:v>-438964.6755</x:v>
      </x:c>
      <x:c r="L26" s="89" t="n">
        <x:f>K26/3600</x:f>
        <x:v>-121.93463208333334</x:v>
      </x:c>
    </x:row>
    <x:row r="27">
      <x:c r="A27" s="31" t="n">
        <x:v>23</x:v>
      </x:c>
      <x:c r="B27" s="32" t="str">
        <x:v>H2 TOTAL</x:v>
      </x:c>
      <x:c r="C27" s="32" t="str">
        <x:v>Gas / hidrógeno</x:v>
      </x:c>
      <x:c r="D27" s="50" t="n">
        <x:v>1</x:v>
      </x:c>
      <x:c r="E27" s="75" t="str">
        <x:v>Vapor</x:v>
      </x:c>
      <x:c r="F27" s="54" t="n">
        <x:v>26.84838434</x:v>
      </x:c>
      <x:c r="G27" s="54" t="n">
        <x:v>1</x:v>
      </x:c>
      <x:c r="H27" s="54" t="n">
        <x:v>213.105467</x:v>
      </x:c>
      <x:c r="I27" s="54" t="n">
        <x:v>460.0916729</x:v>
      </x:c>
      <x:c r="J27" s="54" t="n">
        <x:v>6.135223114</x:v>
      </x:c>
      <x:c r="K27" s="88" t="n">
        <x:v>-376749.2992</x:v>
      </x:c>
      <x:c r="L27" s="89" t="n">
        <x:f>K27/3600</x:f>
        <x:v>-104.65258311111111</x:v>
      </x:c>
    </x:row>
    <x:row r="28">
      <x:c r="A28" s="31" t="n">
        <x:v>24</x:v>
      </x:c>
      <x:c r="B28" s="32" t="str">
        <x:v>REC-H2</x:v>
      </x:c>
      <x:c r="C28" s="32" t="str">
        <x:v>Gas / hidrógeno</x:v>
      </x:c>
      <x:c r="D28" s="50" t="n">
        <x:v>1</x:v>
      </x:c>
      <x:c r="E28" s="75" t="str">
        <x:v>Vapor</x:v>
      </x:c>
      <x:c r="F28" s="54" t="n">
        <x:v>30</x:v>
      </x:c>
      <x:c r="G28" s="54" t="n">
        <x:v>1</x:v>
      </x:c>
      <x:c r="H28" s="54" t="n">
        <x:v>91.88878468</x:v>
      </x:c>
      <x:c r="I28" s="54" t="n">
        <x:v>221.0960806</x:v>
      </x:c>
      <x:c r="J28" s="54" t="n">
        <x:v>2.634566232</x:v>
      </x:c>
      <x:c r="K28" s="88" t="n">
        <x:v>-443234.4696</x:v>
      </x:c>
      <x:c r="L28" s="89" t="n">
        <x:f>K28/3600</x:f>
        <x:v>-123.120686</x:v>
      </x:c>
    </x:row>
    <x:row r="29">
      <x:c r="A29" s="31" t="n">
        <x:v>25</x:v>
      </x:c>
      <x:c r="B29" s="32" t="str">
        <x:v>PURGA-ANTORCHA</x:v>
      </x:c>
      <x:c r="C29" s="32" t="str">
        <x:v>Gas / hidrógeno</x:v>
      </x:c>
      <x:c r="D29" s="50" t="n">
        <x:v>1</x:v>
      </x:c>
      <x:c r="E29" s="75" t="str">
        <x:v>Vapor</x:v>
      </x:c>
      <x:c r="F29" s="54" t="n">
        <x:v>30</x:v>
      </x:c>
      <x:c r="G29" s="54" t="n">
        <x:v>1</x:v>
      </x:c>
      <x:c r="H29" s="54" t="n">
        <x:v>13.7833177</x:v>
      </x:c>
      <x:c r="I29" s="54" t="n">
        <x:v>33.16441209</x:v>
      </x:c>
      <x:c r="J29" s="54" t="n">
        <x:v>0.395184935</x:v>
      </x:c>
      <x:c r="K29" s="88" t="n">
        <x:v>-66485.17044</x:v>
      </x:c>
      <x:c r="L29" s="89" t="n">
        <x:f>K29/3600</x:f>
        <x:v>-18.4681029</x:v>
      </x:c>
    </x:row>
    <x:row r="30">
      <x:c r="A30" s="31" t="n">
        <x:v>26</x:v>
      </x:c>
      <x:c r="B30" s="32" t="str">
        <x:v>REC</x:v>
      </x:c>
      <x:c r="C30" s="32" t="str">
        <x:v>Recirculación</x:v>
      </x:c>
      <x:c r="D30" s="50" t="n">
        <x:v>1</x:v>
      </x:c>
      <x:c r="E30" s="75" t="str">
        <x:v>Vapor</x:v>
      </x:c>
      <x:c r="F30" s="54" t="n">
        <x:v>30</x:v>
      </x:c>
      <x:c r="G30" s="54" t="n">
        <x:v>1</x:v>
      </x:c>
      <x:c r="H30" s="54" t="n">
        <x:v>78.10546698</x:v>
      </x:c>
      <x:c r="I30" s="54" t="n">
        <x:v>187.9316685</x:v>
      </x:c>
      <x:c r="J30" s="54" t="n">
        <x:v>2.239381297</x:v>
      </x:c>
      <x:c r="K30" s="88" t="n">
        <x:v>-376749.2992</x:v>
      </x:c>
      <x:c r="L30" s="89" t="n">
        <x:f>K30/3600</x:f>
        <x:v>-104.65258311111111</x:v>
      </x:c>
    </x:row>
    <x:row r="31">
      <x:c r="A31" s="31" t="n">
        <x:v>27</x:v>
      </x:c>
      <x:c r="B31" s="32" t="str">
        <x:v>AN-NB MIXED</x:v>
      </x:c>
      <x:c r="C31" s="32" t="str">
        <x:v>Nitrobenceno / orgánica</x:v>
      </x:c>
      <x:c r="D31" s="50" t="n">
        <x:v>0</x:v>
      </x:c>
      <x:c r="E31" s="63" t="str">
        <x:v>Líquido</x:v>
      </x:c>
      <x:c r="F31" s="54" t="n">
        <x:v>109.8922515</x:v>
      </x:c>
      <x:c r="G31" s="54" t="n">
        <x:v>1</x:v>
      </x:c>
      <x:c r="H31" s="54" t="n">
        <x:v>41.9609163</x:v>
      </x:c>
      <x:c r="I31" s="54" t="n">
        <x:v>3948.657433</x:v>
      </x:c>
      <x:c r="J31" s="54" t="n">
        <x:v>3.824028556</x:v>
      </x:c>
      <x:c r="K31" s="68" t="n">
        <x:v>2087585.114</x:v>
      </x:c>
      <x:c r="L31" s="69" t="n">
        <x:f>K31/3600</x:f>
        <x:v>579.8847538888889</x:v>
      </x:c>
    </x:row>
    <x:row r="32">
      <x:c r="A32" s="31" t="n">
        <x:v>28</x:v>
      </x:c>
      <x:c r="B32" s="32" t="str">
        <x:v>NB-HOT</x:v>
      </x:c>
      <x:c r="C32" s="32" t="str">
        <x:v>Nitrobenceno / orgánica</x:v>
      </x:c>
      <x:c r="D32" s="50" t="n">
        <x:v>0.69229299</x:v>
      </x:c>
      <x:c r="E32" s="95" t="str">
        <x:v>Dos fases</x:v>
      </x:c>
      <x:c r="F32" s="54" t="n">
        <x:v>211.2049157</x:v>
      </x:c>
      <x:c r="G32" s="54" t="n">
        <x:v>1</x:v>
      </x:c>
      <x:c r="H32" s="54" t="n">
        <x:v>42.48711689</x:v>
      </x:c>
      <x:c r="I32" s="54" t="n">
        <x:v>5230.56333</x:v>
      </x:c>
      <x:c r="J32" s="54" t="n">
        <x:v>4.335104017</x:v>
      </x:c>
      <x:c r="K32" s="68" t="n">
        <x:v>3443692.642</x:v>
      </x:c>
      <x:c r="L32" s="69" t="n">
        <x:f>K32/3600</x:f>
        <x:v>956.5812894444445</x:v>
      </x:c>
    </x:row>
    <x:row r="33">
      <x:c r="A33" s="31" t="n">
        <x:v>29</x:v>
      </x:c>
      <x:c r="B33" s="32" t="str">
        <x:v>H2-HOT</x:v>
      </x:c>
      <x:c r="C33" s="32" t="str">
        <x:v>Gas / hidrógeno</x:v>
      </x:c>
      <x:c r="D33" s="50" t="n">
        <x:v>1</x:v>
      </x:c>
      <x:c r="E33" s="75" t="str">
        <x:v>Vapor</x:v>
      </x:c>
      <x:c r="F33" s="54" t="n">
        <x:v>226.1809125</x:v>
      </x:c>
      <x:c r="G33" s="54" t="n">
        <x:v>1</x:v>
      </x:c>
      <x:c r="H33" s="54" t="n">
        <x:v>213.105467</x:v>
      </x:c>
      <x:c r="I33" s="54" t="n">
        <x:v>460.0916729</x:v>
      </x:c>
      <x:c r="J33" s="54" t="n">
        <x:v>6.135223114</x:v>
      </x:c>
      <x:c r="K33" s="68" t="n">
        <x:v>844072.9062</x:v>
      </x:c>
      <x:c r="L33" s="69" t="n">
        <x:f>K33/3600</x:f>
        <x:v>234.46469616666667</x:v>
      </x:c>
    </x:row>
    <x:row r="34">
      <x:c r="A34" s="31" t="n">
        <x:v>30</x:v>
      </x:c>
      <x:c r="B34" s="32" t="str">
        <x:v>NBZ-REC</x:v>
      </x:c>
      <x:c r="C34" s="32" t="str">
        <x:v>Nitrobenceno / orgánica</x:v>
      </x:c>
      <x:c r="D34" s="50" t="n">
        <x:v>0</x:v>
      </x:c>
      <x:c r="E34" s="63" t="str">
        <x:v>Líquido</x:v>
      </x:c>
      <x:c r="F34" s="54" t="n">
        <x:v>117.8954157</x:v>
      </x:c>
      <x:c r="G34" s="54" t="n">
        <x:v>1</x:v>
      </x:c>
      <x:c r="H34" s="54" t="n">
        <x:v>0.869660486</x:v>
      </x:c>
      <x:c r="I34" s="54" t="n">
        <x:v>107.0633297</x:v>
      </x:c>
      <x:c r="J34" s="54" t="n">
        <x:v>0.088734378</x:v>
      </x:c>
      <x:c r="K34" s="68" t="n">
        <x:v>30986.85704</x:v>
      </x:c>
      <x:c r="L34" s="69" t="n">
        <x:f>K34/3600</x:f>
        <x:v>8.60746028888889</x:v>
      </x:c>
    </x:row>
    <x:row r="35">
      <x:c r="A35" s="31" t="n">
        <x:v>31</x:v>
      </x:c>
      <x:c r="B35" s="32" t="str">
        <x:v>NB-MIX</x:v>
      </x:c>
      <x:c r="C35" s="32" t="str">
        <x:v>Nitrobenceno / orgánica</x:v>
      </x:c>
      <x:c r="D35" s="50" t="n">
        <x:v>0</x:v>
      </x:c>
      <x:c r="E35" s="63" t="str">
        <x:v>Líquido</x:v>
      </x:c>
      <x:c r="F35" s="54" t="n">
        <x:v>26.9507915</x:v>
      </x:c>
      <x:c r="G35" s="54" t="n">
        <x:v>1</x:v>
      </x:c>
      <x:c r="H35" s="54" t="n">
        <x:v>42.48711689</x:v>
      </x:c>
      <x:c r="I35" s="54" t="n">
        <x:v>5230.56333</x:v>
      </x:c>
      <x:c r="J35" s="54" t="n">
        <x:v>4.335104017</x:v>
      </x:c>
      <x:c r="K35" s="68" t="n">
        <x:v>946877.023</x:v>
      </x:c>
      <x:c r="L35" s="69" t="n">
        <x:f>K35/3600</x:f>
        <x:v>263.0213952777778</x:v>
      </x:c>
    </x:row>
    <x:row r="36">
      <x:c r="A36" s="31" t="n">
        <x:v>32</x:v>
      </x:c>
      <x:c r="B36" s="32" t="str">
        <x:v>ANILINA</x:v>
      </x:c>
      <x:c r="C36" s="32" t="str">
        <x:v>Producto / anilina</x:v>
      </x:c>
      <x:c r="D36" s="50" t="n">
        <x:v>0</x:v>
      </x:c>
      <x:c r="E36" s="63" t="str">
        <x:v>Líquido</x:v>
      </x:c>
      <x:c r="F36" s="54" t="n">
        <x:v>89.0849306</x:v>
      </x:c>
      <x:c r="G36" s="54" t="n">
        <x:v>0.05</x:v>
      </x:c>
      <x:c r="H36" s="54" t="n">
        <x:v>41.09034449</x:v>
      </x:c>
      <x:c r="I36" s="54" t="n">
        <x:v>3841.481932</x:v>
      </x:c>
      <x:c r="J36" s="54" t="n">
        <x:v>3.735201205</x:v>
      </x:c>
      <x:c r="K36" s="68" t="n">
        <x:v>1896512.655</x:v>
      </x:c>
      <x:c r="L36" s="69" t="n">
        <x:f>K36/3600</x:f>
        <x:v>526.8090708333333</x:v>
      </x:c>
    </x:row>
    <x:row r="37">
      <x:c r="A37" s="31" t="n">
        <x:v>33</x:v>
      </x:c>
      <x:c r="B37" s="32" t="str">
        <x:v>NBZ</x:v>
      </x:c>
      <x:c r="C37" s="32" t="str">
        <x:v>Nitrobenceno / orgánica</x:v>
      </x:c>
      <x:c r="D37" s="50" t="n">
        <x:v>0</x:v>
      </x:c>
      <x:c r="E37" s="63" t="str">
        <x:v>Líquido</x:v>
      </x:c>
      <x:c r="F37" s="54" t="n">
        <x:v>117.8004256</x:v>
      </x:c>
      <x:c r="G37" s="54" t="n">
        <x:v>0.06</x:v>
      </x:c>
      <x:c r="H37" s="54" t="n">
        <x:v>0.870571366</x:v>
      </x:c>
      <x:c r="I37" s="54" t="n">
        <x:v>107.1754676</x:v>
      </x:c>
      <x:c r="J37" s="54" t="n">
        <x:v>0.088827319</x:v>
      </x:c>
      <x:c r="K37" s="68" t="n">
        <x:v>31006.96935</x:v>
      </x:c>
      <x:c r="L37" s="69" t="n">
        <x:f>K37/3600</x:f>
        <x:v>8.613047041666666</x:v>
      </x:c>
    </x:row>
    <x:row r="38">
      <x:c r="A38" s="35" t="n">
        <x:v>34</x:v>
      </x:c>
      <x:c r="B38" s="36" t="str">
        <x:v>NBZ 1ATM</x:v>
      </x:c>
      <x:c r="C38" s="36" t="str">
        <x:v>Nitrobenceno / orgánica</x:v>
      </x:c>
      <x:c r="D38" s="51" t="n">
        <x:v>0</x:v>
      </x:c>
      <x:c r="E38" s="99" t="str">
        <x:v>Líquido</x:v>
      </x:c>
      <x:c r="F38" s="56" t="n">
        <x:v>117.8954157</x:v>
      </x:c>
      <x:c r="G38" s="56" t="n">
        <x:v>1</x:v>
      </x:c>
      <x:c r="H38" s="56" t="n">
        <x:v>0.870571366</x:v>
      </x:c>
      <x:c r="I38" s="56" t="n">
        <x:v>107.1754676</x:v>
      </x:c>
      <x:c r="J38" s="56" t="n">
        <x:v>0.088827319</x:v>
      </x:c>
      <x:c r="K38" s="104" t="n">
        <x:v>31019.31257</x:v>
      </x:c>
      <x:c r="L38" s="105" t="n">
        <x:f>K38/3600</x:f>
        <x:v>8.616475713888889</x:v>
      </x:c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e87728bc7a394a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>
      <x:c r="A1" s="5" t="str">
        <x:v>Datos originales organizados en formato de simulador, sin corrientes NADA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</x:row>
    <x:row r="4">
      <x:c r="A4" s="28" t="str"/>
      <x:c r="B4" s="29" t="str">
        <x:v>Unit</x:v>
      </x:c>
      <x:c r="C4" s="29" t="str">
        <x:v>NB Fresh</x:v>
      </x:c>
      <x:c r="D4" s="29" t="str">
        <x:v>H2-FRESH</x:v>
      </x:c>
      <x:c r="E4" s="29" t="str">
        <x:v>NB-310</x:v>
      </x:c>
      <x:c r="F4" s="29" t="str">
        <x:v>H2-310</x:v>
      </x:c>
      <x:c r="G4" s="29" t="str">
        <x:v>MIX-GAS</x:v>
      </x:c>
      <x:c r="H4" s="29" t="str">
        <x:v>GAS-5BAR</x:v>
      </x:c>
      <x:c r="I4" s="29" t="str">
        <x:v>GAS-340</x:v>
      </x:c>
      <x:c r="J4" s="29" t="str">
        <x:v>RX-OUT</x:v>
      </x:c>
      <x:c r="K4" s="29" t="str">
        <x:v>GAS-250</x:v>
      </x:c>
      <x:c r="L4" s="29" t="str">
        <x:v>GAS-30</x:v>
      </x:c>
      <x:c r="M4" s="29" t="str">
        <x:v>H2-SPLIT</x:v>
      </x:c>
      <x:c r="N4" s="29" t="str">
        <x:v>LIQ-SPLIT</x:v>
      </x:c>
      <x:c r="O4" s="29" t="str">
        <x:v>ORG-110</x:v>
      </x:c>
      <x:c r="P4" s="29" t="str">
        <x:v>AN-NB FONDO</x:v>
      </x:c>
      <x:c r="Q4" s="29" t="str">
        <x:v>H2O-NB</x:v>
      </x:c>
      <x:c r="R4" s="29" t="str">
        <x:v>AN-NB-110</x:v>
      </x:c>
      <x:c r="S4" s="29" t="str">
        <x:v>H2-ANTORCHA</x:v>
      </x:c>
      <x:c r="T4" s="29" t="str">
        <x:v>ORGANICA</x:v>
      </x:c>
      <x:c r="U4" s="29" t="str">
        <x:v>H2O-FONDO_1</x:v>
      </x:c>
      <x:c r="V4" s="29" t="str">
        <x:v>ANILINA-NB-SEP</x:v>
      </x:c>
      <x:c r="W4" s="29" t="str">
        <x:v>H2O-FONDO_2</x:v>
      </x:c>
      <x:c r="X4" s="29" t="str">
        <x:v>H2-1ATM</x:v>
      </x:c>
      <x:c r="Y4" s="29" t="str">
        <x:v>H2 TOTAL</x:v>
      </x:c>
      <x:c r="Z4" s="29" t="str">
        <x:v>REC-H2</x:v>
      </x:c>
      <x:c r="AA4" s="29" t="str">
        <x:v>PURGA-ANTORCHA</x:v>
      </x:c>
      <x:c r="AB4" s="29" t="str">
        <x:v>REC</x:v>
      </x:c>
      <x:c r="AC4" s="29" t="str">
        <x:v>AN-NB MIXED</x:v>
      </x:c>
      <x:c r="AD4" s="29" t="str">
        <x:v>NB-HOT</x:v>
      </x:c>
      <x:c r="AE4" s="29" t="str">
        <x:v>H2-HOT</x:v>
      </x:c>
      <x:c r="AF4" s="29" t="str">
        <x:v>NBZ-REC</x:v>
      </x:c>
      <x:c r="AG4" s="29" t="str">
        <x:v>NB-MIX</x:v>
      </x:c>
      <x:c r="AH4" s="29" t="str">
        <x:v>ANILINA</x:v>
      </x:c>
      <x:c r="AI4" s="29" t="str">
        <x:v>NBZ</x:v>
      </x:c>
      <x:c r="AJ4" s="30" t="str">
        <x:v>NBZ 1ATM</x:v>
      </x:c>
    </x:row>
    <x:row r="5">
      <x:c r="A5" s="118" t="str">
        <x:v>Vapour Fraction</x:v>
      </x:c>
      <x:c r="B5" s="119" t="str"/>
      <x:c r="C5" s="134" t="n">
        <x:v>0</x:v>
      </x:c>
      <x:c r="D5" s="134" t="n">
        <x:v>1</x:v>
      </x:c>
      <x:c r="E5" s="134" t="n">
        <x:v>1</x:v>
      </x:c>
      <x:c r="F5" s="134" t="n">
        <x:v>1</x:v>
      </x:c>
      <x:c r="G5" s="134" t="n">
        <x:v>1</x:v>
      </x:c>
      <x:c r="H5" s="134" t="n">
        <x:v>1</x:v>
      </x:c>
      <x:c r="I5" s="134" t="n">
        <x:v>1</x:v>
      </x:c>
      <x:c r="J5" s="134" t="n">
        <x:v>1</x:v>
      </x:c>
      <x:c r="K5" s="134" t="n">
        <x:v>1</x:v>
      </x:c>
      <x:c r="L5" s="134" t="n">
        <x:v>0.423661561</x:v>
      </x:c>
      <x:c r="M5" s="134" t="n">
        <x:v>1</x:v>
      </x:c>
      <x:c r="N5" s="134" t="n">
        <x:v>0</x:v>
      </x:c>
      <x:c r="O5" s="134" t="n">
        <x:v>0.137997775</x:v>
      </x:c>
      <x:c r="P5" s="134" t="n">
        <x:v>0</x:v>
      </x:c>
      <x:c r="Q5" s="134" t="n">
        <x:v>0</x:v>
      </x:c>
      <x:c r="R5" s="134" t="n">
        <x:v>0</x:v>
      </x:c>
      <x:c r="S5" s="134" t="n">
        <x:v>0.979861671</x:v>
      </x:c>
      <x:c r="T5" s="134" t="n">
        <x:v>0</x:v>
      </x:c>
      <x:c r="U5" s="134" t="n">
        <x:v>0</x:v>
      </x:c>
      <x:c r="V5" s="134" t="n">
        <x:v>0</x:v>
      </x:c>
      <x:c r="W5" s="134" t="n">
        <x:v>0</x:v>
      </x:c>
      <x:c r="X5" s="134" t="n">
        <x:v>1</x:v>
      </x:c>
      <x:c r="Y5" s="134" t="n">
        <x:v>1</x:v>
      </x:c>
      <x:c r="Z5" s="134" t="n">
        <x:v>1</x:v>
      </x:c>
      <x:c r="AA5" s="134" t="n">
        <x:v>1</x:v>
      </x:c>
      <x:c r="AB5" s="134" t="n">
        <x:v>1</x:v>
      </x:c>
      <x:c r="AC5" s="134" t="n">
        <x:v>0</x:v>
      </x:c>
      <x:c r="AD5" s="134" t="n">
        <x:v>0.69229299</x:v>
      </x:c>
      <x:c r="AE5" s="134" t="n">
        <x:v>1</x:v>
      </x:c>
      <x:c r="AF5" s="134" t="n">
        <x:v>0</x:v>
      </x:c>
      <x:c r="AG5" s="134" t="n">
        <x:v>0</x:v>
      </x:c>
      <x:c r="AH5" s="134" t="n">
        <x:v>0</x:v>
      </x:c>
      <x:c r="AI5" s="134" t="n">
        <x:v>0</x:v>
      </x:c>
      <x:c r="AJ5" s="135" t="n">
        <x:v>0</x:v>
      </x:c>
    </x:row>
    <x:row r="6">
      <x:c r="A6" s="118" t="str">
        <x:v>Temperature</x:v>
      </x:c>
      <x:c r="B6" s="119" t="str">
        <x:v>C</x:v>
      </x:c>
      <x:c r="C6" s="134" t="n">
        <x:v>25</x:v>
      </x:c>
      <x:c r="D6" s="134" t="n">
        <x:v>25</x:v>
      </x:c>
      <x:c r="E6" s="134" t="n">
        <x:v>310</x:v>
      </x:c>
      <x:c r="F6" s="134" t="n">
        <x:v>310</x:v>
      </x:c>
      <x:c r="G6" s="134" t="n">
        <x:v>309.9999973</x:v>
      </x:c>
      <x:c r="H6" s="134" t="n">
        <x:v>495.7275416</x:v>
      </x:c>
      <x:c r="I6" s="134" t="n">
        <x:v>340</x:v>
      </x:c>
      <x:c r="J6" s="134" t="n">
        <x:v>340</x:v>
      </x:c>
      <x:c r="K6" s="134" t="n">
        <x:v>250</x:v>
      </x:c>
      <x:c r="L6" s="134" t="n">
        <x:v>30</x:v>
      </x:c>
      <x:c r="M6" s="134" t="n">
        <x:v>30</x:v>
      </x:c>
      <x:c r="N6" s="134" t="n">
        <x:v>30</x:v>
      </x:c>
      <x:c r="O6" s="134" t="n">
        <x:v>110</x:v>
      </x:c>
      <x:c r="P6" s="134" t="n">
        <x:v>179.3166253</x:v>
      </x:c>
      <x:c r="Q6" s="134" t="n">
        <x:v>95.09446609</x:v>
      </x:c>
      <x:c r="R6" s="134" t="n">
        <x:v>110</x:v>
      </x:c>
      <x:c r="S6" s="134" t="n">
        <x:v>115.0786035</x:v>
      </x:c>
      <x:c r="T6" s="134" t="n">
        <x:v>30</x:v>
      </x:c>
      <x:c r="U6" s="134" t="n">
        <x:v>30</x:v>
      </x:c>
      <x:c r="V6" s="134" t="n">
        <x:v>95.09446609</x:v>
      </x:c>
      <x:c r="W6" s="134" t="n">
        <x:v>95.09446609</x:v>
      </x:c>
      <x:c r="X6" s="134" t="n">
        <x:v>30</x:v>
      </x:c>
      <x:c r="Y6" s="134" t="n">
        <x:v>26.84838434</x:v>
      </x:c>
      <x:c r="Z6" s="134" t="n">
        <x:v>30</x:v>
      </x:c>
      <x:c r="AA6" s="134" t="n">
        <x:v>30</x:v>
      </x:c>
      <x:c r="AB6" s="134" t="n">
        <x:v>30</x:v>
      </x:c>
      <x:c r="AC6" s="134" t="n">
        <x:v>109.8922515</x:v>
      </x:c>
      <x:c r="AD6" s="134" t="n">
        <x:v>211.2049157</x:v>
      </x:c>
      <x:c r="AE6" s="134" t="n">
        <x:v>226.1809125</x:v>
      </x:c>
      <x:c r="AF6" s="134" t="n">
        <x:v>117.8954157</x:v>
      </x:c>
      <x:c r="AG6" s="134" t="n">
        <x:v>26.9507915</x:v>
      </x:c>
      <x:c r="AH6" s="134" t="n">
        <x:v>89.0849306</x:v>
      </x:c>
      <x:c r="AI6" s="134" t="n">
        <x:v>117.8004256</x:v>
      </x:c>
      <x:c r="AJ6" s="135" t="n">
        <x:v>117.8954157</x:v>
      </x:c>
    </x:row>
    <x:row r="7">
      <x:c r="A7" s="118" t="str">
        <x:v>Pressure</x:v>
      </x:c>
      <x:c r="B7" s="119" t="str">
        <x:v>atm</x:v>
      </x:c>
      <x:c r="C7" s="134" t="n">
        <x:v>1</x:v>
      </x:c>
      <x:c r="D7" s="134" t="n">
        <x:v>1</x:v>
      </x:c>
      <x:c r="E7" s="134" t="n">
        <x:v>1</x:v>
      </x:c>
      <x:c r="F7" s="134" t="n">
        <x:v>1</x:v>
      </x:c>
      <x:c r="G7" s="134" t="n">
        <x:v>1</x:v>
      </x:c>
      <x:c r="H7" s="134" t="n">
        <x:v>4.9346165</x:v>
      </x:c>
      <x:c r="I7" s="134" t="n">
        <x:v>4.9346165</x:v>
      </x:c>
      <x:c r="J7" s="134" t="n">
        <x:v>4.9346165</x:v>
      </x:c>
      <x:c r="K7" s="134" t="n">
        <x:v>4.9346165</x:v>
      </x:c>
      <x:c r="L7" s="134" t="n">
        <x:v>2</x:v>
      </x:c>
      <x:c r="M7" s="134" t="n">
        <x:v>2</x:v>
      </x:c>
      <x:c r="N7" s="134" t="n">
        <x:v>2</x:v>
      </x:c>
      <x:c r="O7" s="134" t="n">
        <x:v>1</x:v>
      </x:c>
      <x:c r="P7" s="134" t="n">
        <x:v>1</x:v>
      </x:c>
      <x:c r="Q7" s="134" t="n">
        <x:v>1</x:v>
      </x:c>
      <x:c r="R7" s="134" t="n">
        <x:v>1</x:v>
      </x:c>
      <x:c r="S7" s="134" t="n">
        <x:v>1</x:v>
      </x:c>
      <x:c r="T7" s="134" t="n">
        <x:v>2</x:v>
      </x:c>
      <x:c r="U7" s="134" t="n">
        <x:v>2</x:v>
      </x:c>
      <x:c r="V7" s="134" t="n">
        <x:v>1</x:v>
      </x:c>
      <x:c r="W7" s="134" t="n">
        <x:v>1</x:v>
      </x:c>
      <x:c r="X7" s="134" t="n">
        <x:v>1</x:v>
      </x:c>
      <x:c r="Y7" s="134" t="n">
        <x:v>1</x:v>
      </x:c>
      <x:c r="Z7" s="134" t="n">
        <x:v>1</x:v>
      </x:c>
      <x:c r="AA7" s="134" t="n">
        <x:v>1</x:v>
      </x:c>
      <x:c r="AB7" s="134" t="n">
        <x:v>1</x:v>
      </x:c>
      <x:c r="AC7" s="134" t="n">
        <x:v>1</x:v>
      </x:c>
      <x:c r="AD7" s="134" t="n">
        <x:v>1</x:v>
      </x:c>
      <x:c r="AE7" s="134" t="n">
        <x:v>1</x:v>
      </x:c>
      <x:c r="AF7" s="134" t="n">
        <x:v>1</x:v>
      </x:c>
      <x:c r="AG7" s="134" t="n">
        <x:v>1</x:v>
      </x:c>
      <x:c r="AH7" s="134" t="n">
        <x:v>0.05</x:v>
      </x:c>
      <x:c r="AI7" s="134" t="n">
        <x:v>0.06</x:v>
      </x:c>
      <x:c r="AJ7" s="135" t="n">
        <x:v>1</x:v>
      </x:c>
    </x:row>
    <x:row r="8">
      <x:c r="A8" s="118" t="str">
        <x:v>Molar Flow</x:v>
      </x:c>
      <x:c r="B8" s="119" t="str">
        <x:v>kgmole/h</x:v>
      </x:c>
      <x:c r="C8" s="134" t="n">
        <x:v>41.61745641</x:v>
      </x:c>
      <x:c r="D8" s="134" t="n">
        <x:v>135</x:v>
      </x:c>
      <x:c r="E8" s="134" t="n">
        <x:v>42.48711689</x:v>
      </x:c>
      <x:c r="F8" s="134" t="n">
        <x:v>213.105467</x:v>
      </x:c>
      <x:c r="G8" s="134" t="n">
        <x:v>255.5925839</x:v>
      </x:c>
      <x:c r="H8" s="134" t="n">
        <x:v>255.5925839</x:v>
      </x:c>
      <x:c r="I8" s="134" t="n">
        <x:v>255.5925839</x:v>
      </x:c>
      <x:c r="J8" s="134" t="n">
        <x:v>214.8025789</x:v>
      </x:c>
      <x:c r="K8" s="134" t="n">
        <x:v>214.8025789</x:v>
      </x:c>
      <x:c r="L8" s="134" t="n">
        <x:v>214.8025789</x:v>
      </x:c>
      <x:c r="M8" s="134" t="n">
        <x:v>91.00359595</x:v>
      </x:c>
      <x:c r="N8" s="134" t="n">
        <x:v>123.798983</x:v>
      </x:c>
      <x:c r="O8" s="134" t="n">
        <x:v>56.04134002</x:v>
      </x:c>
      <x:c r="P8" s="134" t="n">
        <x:v>41.61610654</x:v>
      </x:c>
      <x:c r="Q8" s="134" t="n">
        <x:v>14.35523322</x:v>
      </x:c>
      <x:c r="R8" s="134" t="n">
        <x:v>41.61610654</x:v>
      </x:c>
      <x:c r="S8" s="134" t="n">
        <x:v>0.070000264</x:v>
      </x:c>
      <x:c r="T8" s="134" t="n">
        <x:v>56.04134002</x:v>
      </x:c>
      <x:c r="U8" s="134" t="n">
        <x:v>67.75764293</x:v>
      </x:c>
      <x:c r="V8" s="134" t="n">
        <x:v>0.344809763</x:v>
      </x:c>
      <x:c r="W8" s="134" t="n">
        <x:v>14.01042345</x:v>
      </x:c>
      <x:c r="X8" s="134" t="n">
        <x:v>91.00359595</x:v>
      </x:c>
      <x:c r="Y8" s="134" t="n">
        <x:v>213.105467</x:v>
      </x:c>
      <x:c r="Z8" s="134" t="n">
        <x:v>91.88878468</x:v>
      </x:c>
      <x:c r="AA8" s="134" t="n">
        <x:v>13.7833177</x:v>
      </x:c>
      <x:c r="AB8" s="134" t="n">
        <x:v>78.10546698</x:v>
      </x:c>
      <x:c r="AC8" s="134" t="n">
        <x:v>41.9609163</x:v>
      </x:c>
      <x:c r="AD8" s="134" t="n">
        <x:v>42.48711689</x:v>
      </x:c>
      <x:c r="AE8" s="134" t="n">
        <x:v>213.105467</x:v>
      </x:c>
      <x:c r="AF8" s="134" t="n">
        <x:v>0.869660486</x:v>
      </x:c>
      <x:c r="AG8" s="134" t="n">
        <x:v>42.48711689</x:v>
      </x:c>
      <x:c r="AH8" s="134" t="n">
        <x:v>41.09034449</x:v>
      </x:c>
      <x:c r="AI8" s="134" t="n">
        <x:v>0.870571366</x:v>
      </x:c>
      <x:c r="AJ8" s="135" t="n">
        <x:v>0.870571366</x:v>
      </x:c>
    </x:row>
    <x:row r="9">
      <x:c r="A9" s="118" t="str">
        <x:v>Mass Flow</x:v>
      </x:c>
      <x:c r="B9" s="119" t="str">
        <x:v>kg/h</x:v>
      </x:c>
      <x:c r="C9" s="134" t="n">
        <x:v>5123.5</x:v>
      </x:c>
      <x:c r="D9" s="134" t="n">
        <x:v>272.1600044</x:v>
      </x:c>
      <x:c r="E9" s="134" t="n">
        <x:v>5230.56333</x:v>
      </x:c>
      <x:c r="F9" s="134" t="n">
        <x:v>460.0916729</x:v>
      </x:c>
      <x:c r="G9" s="134" t="n">
        <x:v>5690.655003</x:v>
      </x:c>
      <x:c r="H9" s="134" t="n">
        <x:v>5690.655003</x:v>
      </x:c>
      <x:c r="I9" s="134" t="n">
        <x:v>5690.655003</x:v>
      </x:c>
      <x:c r="J9" s="134" t="n">
        <x:v>5690.716319</x:v>
      </x:c>
      <x:c r="K9" s="134" t="n">
        <x:v>5690.716319</x:v>
      </x:c>
      <x:c r="L9" s="134" t="n">
        <x:v>5690.716319</x:v>
      </x:c>
      <x:c r="M9" s="134" t="n">
        <x:v>218.9662035</x:v>
      </x:c>
      <x:c r="N9" s="134" t="n">
        <x:v>5471.750116</x:v>
      </x:c>
      <x:c r="O9" s="134" t="n">
        <x:v>4219.974365</x:v>
      </x:c>
      <x:c r="P9" s="134" t="n">
        <x:v>3918.205881</x:v>
      </x:c>
      <x:c r="Q9" s="134" t="n">
        <x:v>300.0638699</x:v>
      </x:c>
      <x:c r="R9" s="134" t="n">
        <x:v>3918.205881</x:v>
      </x:c>
      <x:c r="S9" s="134" t="n">
        <x:v>1.704613776</x:v>
      </x:c>
      <x:c r="T9" s="134" t="n">
        <x:v>4219.974365</x:v>
      </x:c>
      <x:c r="U9" s="134" t="n">
        <x:v>1251.775751</x:v>
      </x:c>
      <x:c r="V9" s="134" t="n">
        <x:v>30.45155219</x:v>
      </x:c>
      <x:c r="W9" s="134" t="n">
        <x:v>269.6123177</x:v>
      </x:c>
      <x:c r="X9" s="134" t="n">
        <x:v>218.9662035</x:v>
      </x:c>
      <x:c r="Y9" s="134" t="n">
        <x:v>460.0916729</x:v>
      </x:c>
      <x:c r="Z9" s="134" t="n">
        <x:v>221.0960806</x:v>
      </x:c>
      <x:c r="AA9" s="134" t="n">
        <x:v>33.16441209</x:v>
      </x:c>
      <x:c r="AB9" s="134" t="n">
        <x:v>187.9316685</x:v>
      </x:c>
      <x:c r="AC9" s="134" t="n">
        <x:v>3948.657433</x:v>
      </x:c>
      <x:c r="AD9" s="134" t="n">
        <x:v>5230.56333</x:v>
      </x:c>
      <x:c r="AE9" s="134" t="n">
        <x:v>460.0916729</x:v>
      </x:c>
      <x:c r="AF9" s="134" t="n">
        <x:v>107.0633297</x:v>
      </x:c>
      <x:c r="AG9" s="134" t="n">
        <x:v>5230.56333</x:v>
      </x:c>
      <x:c r="AH9" s="134" t="n">
        <x:v>3841.481932</x:v>
      </x:c>
      <x:c r="AI9" s="134" t="n">
        <x:v>107.1754676</x:v>
      </x:c>
      <x:c r="AJ9" s="135" t="n">
        <x:v>107.1754676</x:v>
      </x:c>
    </x:row>
    <x:row r="10">
      <x:c r="A10" s="118" t="str">
        <x:v>Liquid Volume Flow</x:v>
      </x:c>
      <x:c r="B10" s="119" t="str">
        <x:v>m3/h</x:v>
      </x:c>
      <x:c r="C10" s="134" t="n">
        <x:v>4.246369639</x:v>
      </x:c>
      <x:c r="D10" s="134" t="n">
        <x:v>3.895841817</x:v>
      </x:c>
      <x:c r="E10" s="134" t="n">
        <x:v>4.335104017</x:v>
      </x:c>
      <x:c r="F10" s="134" t="n">
        <x:v>6.135223114</x:v>
      </x:c>
      <x:c r="G10" s="134" t="n">
        <x:v>10.47032713</x:v>
      </x:c>
      <x:c r="H10" s="134" t="n">
        <x:v>10.47032713</x:v>
      </x:c>
      <x:c r="I10" s="134" t="n">
        <x:v>10.47032713</x:v>
      </x:c>
      <x:c r="J10" s="134" t="n">
        <x:v>7.95786128</x:v>
      </x:c>
      <x:c r="K10" s="134" t="n">
        <x:v>7.95786128</x:v>
      </x:c>
      <x:c r="L10" s="134" t="n">
        <x:v>7.95786128</x:v>
      </x:c>
      <x:c r="M10" s="134" t="n">
        <x:v>2.609186765</x:v>
      </x:c>
      <x:c r="N10" s="134" t="n">
        <x:v>5.348674515</x:v>
      </x:c>
      <x:c r="O10" s="134" t="n">
        <x:v>4.095381846</x:v>
      </x:c>
      <x:c r="P10" s="134" t="n">
        <x:v>3.795379195</x:v>
      </x:c>
      <x:c r="Q10" s="134" t="n">
        <x:v>0.29818403</x:v>
      </x:c>
      <x:c r="R10" s="134" t="n">
        <x:v>3.795379195</x:v>
      </x:c>
      <x:c r="S10" s="134" t="n">
        <x:v>0.001818621</x:v>
      </x:c>
      <x:c r="T10" s="134" t="n">
        <x:v>4.095381846</x:v>
      </x:c>
      <x:c r="U10" s="134" t="n">
        <x:v>1.253292669</x:v>
      </x:c>
      <x:c r="V10" s="134" t="n">
        <x:v>0.028649362</x:v>
      </x:c>
      <x:c r="W10" s="134" t="n">
        <x:v>0.269534669</x:v>
      </x:c>
      <x:c r="X10" s="134" t="n">
        <x:v>2.609186765</x:v>
      </x:c>
      <x:c r="Y10" s="134" t="n">
        <x:v>6.135223114</x:v>
      </x:c>
      <x:c r="Z10" s="134" t="n">
        <x:v>2.634566232</x:v>
      </x:c>
      <x:c r="AA10" s="134" t="n">
        <x:v>0.395184935</x:v>
      </x:c>
      <x:c r="AB10" s="134" t="n">
        <x:v>2.239381297</x:v>
      </x:c>
      <x:c r="AC10" s="134" t="n">
        <x:v>3.824028556</x:v>
      </x:c>
      <x:c r="AD10" s="134" t="n">
        <x:v>4.335104017</x:v>
      </x:c>
      <x:c r="AE10" s="134" t="n">
        <x:v>6.135223114</x:v>
      </x:c>
      <x:c r="AF10" s="134" t="n">
        <x:v>0.088734378</x:v>
      </x:c>
      <x:c r="AG10" s="134" t="n">
        <x:v>4.335104017</x:v>
      </x:c>
      <x:c r="AH10" s="134" t="n">
        <x:v>3.735201205</x:v>
      </x:c>
      <x:c r="AI10" s="134" t="n">
        <x:v>0.088827319</x:v>
      </x:c>
      <x:c r="AJ10" s="135" t="n">
        <x:v>0.088827319</x:v>
      </x:c>
    </x:row>
    <x:row r="11">
      <x:c r="A11" s="122" t="str">
        <x:v>Heat Flow</x:v>
      </x:c>
      <x:c r="B11" s="123" t="str">
        <x:v>kJ/h</x:v>
      </x:c>
      <x:c r="C11" s="136" t="n">
        <x:v>915890.1659</x:v>
      </x:c>
      <x:c r="D11" s="136" t="n">
        <x:v>0</x:v>
      </x:c>
      <x:c r="E11" s="136" t="n">
        <x:v>4841657.061</x:v>
      </x:c>
      <x:c r="F11" s="136" t="n">
        <x:v>1364430.939</x:v>
      </x:c>
      <x:c r="G11" s="136" t="n">
        <x:v>6206087.999</x:v>
      </x:c>
      <x:c r="H11" s="136" t="n">
        <x:v>9155190.824</x:v>
      </x:c>
      <x:c r="I11" s="136" t="n">
        <x:v>6658375.206</x:v>
      </x:c>
      <x:c r="J11" s="136" t="n">
        <x:v>-12552120.52</x:v>
      </x:c>
      <x:c r="K11" s="136" t="n">
        <x:v>-13772942.72</x:v>
      </x:c>
      <x:c r="L11" s="136" t="n">
        <x:v>-22023620.73</x:v>
      </x:c>
      <x:c r="M11" s="136" t="n">
        <x:v>-438934.2396</x:v>
      </x:c>
      <x:c r="N11" s="136" t="n">
        <x:v>-21584686.5</x:v>
      </x:c>
      <x:c r="O11" s="136" t="n">
        <x:v>-1438633.791</x:v>
      </x:c>
      <x:c r="P11" s="136" t="n">
        <x:v>2667470.562</x:v>
      </x:c>
      <x:c r="Q11" s="136" t="n">
        <x:v>-3841886.934</x:v>
      </x:c>
      <x:c r="R11" s="136" t="n">
        <x:v>2086992.654</x:v>
      </x:c>
      <x:c r="S11" s="136" t="n">
        <x:v>-13090.89201</x:v>
      </x:c>
      <x:c r="T11" s="136" t="n">
        <x:v>-2439672.883</x:v>
      </x:c>
      <x:c r="U11" s="136" t="n">
        <x:v>-19145013.61</x:v>
      </x:c>
      <x:c r="V11" s="136" t="n">
        <x:v>592.4596712</x:v>
      </x:c>
      <x:c r="W11" s="136" t="n">
        <x:v>-3842479.394</x:v>
      </x:c>
      <x:c r="X11" s="136" t="n">
        <x:v>-438964.6755</x:v>
      </x:c>
      <x:c r="Y11" s="136" t="n">
        <x:v>-376749.2992</x:v>
      </x:c>
      <x:c r="Z11" s="136" t="n">
        <x:v>-443234.4696</x:v>
      </x:c>
      <x:c r="AA11" s="136" t="n">
        <x:v>-66485.17044</x:v>
      </x:c>
      <x:c r="AB11" s="136" t="n">
        <x:v>-376749.2992</x:v>
      </x:c>
      <x:c r="AC11" s="136" t="n">
        <x:v>2087585.114</x:v>
      </x:c>
      <x:c r="AD11" s="136" t="n">
        <x:v>3443692.642</x:v>
      </x:c>
      <x:c r="AE11" s="136" t="n">
        <x:v>844072.9062</x:v>
      </x:c>
      <x:c r="AF11" s="136" t="n">
        <x:v>30986.85704</x:v>
      </x:c>
      <x:c r="AG11" s="136" t="n">
        <x:v>946877.023</x:v>
      </x:c>
      <x:c r="AH11" s="136" t="n">
        <x:v>1896512.655</x:v>
      </x:c>
      <x:c r="AI11" s="136" t="n">
        <x:v>31006.96935</x:v>
      </x:c>
      <x:c r="AJ11" s="137" t="n">
        <x:v>31019.31257</x:v>
      </x:c>
    </x:row>
  </x:sheetData>
  <x:mergeCells>
    <x:mergeCell ref="A1:A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12" hidden="0" customWidth="1"/>
    <x:col min="12" max="12" width="18" hidden="0" customWidth="1"/>
    <x:col min="13" max="13" width="18" hidden="0" customWidth="1"/>
  </x:cols>
  <x:sheetData>
    <x:row r="1">
      <x:c r="A1" s="5" t="str">
        <x:v>Resumen de propiedades de corrientes, sin corrientes NADA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28" t="str">
        <x:v>Indicador</x:v>
      </x:c>
      <x:c r="B4" s="29" t="str">
        <x:v>Valor</x:v>
      </x:c>
      <x:c r="C4" s="30" t="str">
        <x:v>Unidad</x:v>
      </x:c>
      <x:c r="E4" s="28" t="str">
        <x:v>Propiedad</x:v>
      </x:c>
      <x:c r="F4" s="29" t="str">
        <x:v>Mínimo</x:v>
      </x:c>
      <x:c r="G4" s="29" t="str">
        <x:v>Corriente mín.</x:v>
      </x:c>
      <x:c r="H4" s="29" t="str">
        <x:v>Máximo</x:v>
      </x:c>
      <x:c r="I4" s="29" t="str">
        <x:v>Corriente máx.</x:v>
      </x:c>
      <x:c r="J4" s="30" t="str">
        <x:v>Unidad</x:v>
      </x:c>
      <x:c r="L4" s="28" t="str">
        <x:v>Stream Name</x:v>
      </x:c>
      <x:c r="M4" s="30" t="str">
        <x:v>Heat Flow [kJ/h]</x:v>
      </x:c>
    </x:row>
    <x:row r="5">
      <x:c r="A5" s="31" t="str">
        <x:v>Total de corrientes</x:v>
      </x:c>
      <x:c r="B5" s="33" t="n">
        <x:f>COUNTA(Propiedades!B5:B38)</x:f>
        <x:v>34</x:v>
      </x:c>
      <x:c r="C5" s="34" t="str">
        <x:v>-</x:v>
      </x:c>
      <x:c r="E5" s="31" t="str">
        <x:v>Temperature</x:v>
      </x:c>
      <x:c r="F5" s="54" t="n">
        <x:f>MIN(Propiedades!F5:F38)</x:f>
        <x:v>25</x:v>
      </x:c>
      <x:c r="G5" s="33" t="str">
        <x:f>INDEX(Propiedades!$B$5:$B$38,MATCH(F5,Propiedades!F$5:F$38,0))</x:f>
        <x:v>NB Fresh</x:v>
      </x:c>
      <x:c r="H5" s="54" t="n">
        <x:f>MAX(Propiedades!F5:F38)</x:f>
        <x:v>495.7275416</x:v>
      </x:c>
      <x:c r="I5" s="33" t="str">
        <x:f>INDEX(Propiedades!$B$5:$B$38,MATCH(H5,Propiedades!F$5:F$38,0))</x:f>
        <x:v>GAS-5BAR</x:v>
      </x:c>
      <x:c r="J5" s="34" t="str">
        <x:v>°C</x:v>
      </x:c>
      <x:c r="L5" s="31" t="str">
        <x:f>Propiedades!B5</x:f>
        <x:v>NB Fresh</x:v>
      </x:c>
      <x:c r="M5" s="160" t="n">
        <x:f>Propiedades!K5</x:f>
        <x:v>915890.1659</x:v>
      </x:c>
    </x:row>
    <x:row r="6">
      <x:c r="A6" s="31" t="str">
        <x:v>Corrientes líquidas</x:v>
      </x:c>
      <x:c r="B6" s="33" t="n">
        <x:f>COUNTIF(Propiedades!E5:E38,"Líquido")</x:f>
        <x:v>15</x:v>
      </x:c>
      <x:c r="C6" s="34" t="str">
        <x:v>-</x:v>
      </x:c>
      <x:c r="E6" s="31" t="str">
        <x:v>Pressure</x:v>
      </x:c>
      <x:c r="F6" s="54" t="n">
        <x:f>MIN(Propiedades!G5:G38)</x:f>
        <x:v>0.05</x:v>
      </x:c>
      <x:c r="G6" s="33" t="str">
        <x:f>INDEX(Propiedades!$B$5:$B$38,MATCH(F6,Propiedades!G$5:G$38,0))</x:f>
        <x:v>ANILINA</x:v>
      </x:c>
      <x:c r="H6" s="54" t="n">
        <x:f>MAX(Propiedades!G5:G38)</x:f>
        <x:v>4.9346165</x:v>
      </x:c>
      <x:c r="I6" s="33" t="str">
        <x:f>INDEX(Propiedades!$B$5:$B$38,MATCH(H6,Propiedades!G$5:G$38,0))</x:f>
        <x:v>GAS-5BAR</x:v>
      </x:c>
      <x:c r="J6" s="34" t="str">
        <x:v>atm</x:v>
      </x:c>
      <x:c r="L6" s="31" t="str">
        <x:f>Propiedades!B6</x:f>
        <x:v>H2-FRESH</x:v>
      </x:c>
      <x:c r="M6" s="160" t="n">
        <x:f>Propiedades!K6</x:f>
        <x:v>0</x:v>
      </x:c>
    </x:row>
    <x:row r="7">
      <x:c r="A7" s="31" t="str">
        <x:v>Corrientes vapor</x:v>
      </x:c>
      <x:c r="B7" s="33" t="n">
        <x:f>COUNTIF(Propiedades!E5:E38,"Vapor")</x:f>
        <x:v>15</x:v>
      </x:c>
      <x:c r="C7" s="34" t="str">
        <x:v>-</x:v>
      </x:c>
      <x:c r="E7" s="31" t="str">
        <x:v>Molar Flow</x:v>
      </x:c>
      <x:c r="F7" s="54" t="n">
        <x:f>MIN(Propiedades!H5:H38)</x:f>
        <x:v>0.070000264</x:v>
      </x:c>
      <x:c r="G7" s="33" t="str">
        <x:f>INDEX(Propiedades!$B$5:$B$38,MATCH(F7,Propiedades!H$5:H$38,0))</x:f>
        <x:v>H2-ANTORCHA</x:v>
      </x:c>
      <x:c r="H7" s="54" t="n">
        <x:f>MAX(Propiedades!H5:H38)</x:f>
        <x:v>255.5925839</x:v>
      </x:c>
      <x:c r="I7" s="33" t="str">
        <x:f>INDEX(Propiedades!$B$5:$B$38,MATCH(H7,Propiedades!H$5:H$38,0))</x:f>
        <x:v>MIX-GAS</x:v>
      </x:c>
      <x:c r="J7" s="34" t="str">
        <x:v>kgmol/h</x:v>
      </x:c>
      <x:c r="L7" s="31" t="str">
        <x:f>Propiedades!B7</x:f>
        <x:v>NB-310</x:v>
      </x:c>
      <x:c r="M7" s="160" t="n">
        <x:f>Propiedades!K7</x:f>
        <x:v>4841657.061</x:v>
      </x:c>
    </x:row>
    <x:row r="8">
      <x:c r="A8" s="35" t="str">
        <x:v>Corrientes en dos fases</x:v>
      </x:c>
      <x:c r="B8" s="37" t="n">
        <x:f>COUNTIF(Propiedades!E5:E38,"Dos fases")</x:f>
        <x:v>4</x:v>
      </x:c>
      <x:c r="C8" s="38" t="str">
        <x:v>-</x:v>
      </x:c>
      <x:c r="E8" s="31" t="str">
        <x:v>Mass Flow</x:v>
      </x:c>
      <x:c r="F8" s="54" t="n">
        <x:f>MIN(Propiedades!I5:I38)</x:f>
        <x:v>1.704613776</x:v>
      </x:c>
      <x:c r="G8" s="33" t="str">
        <x:f>INDEX(Propiedades!$B$5:$B$38,MATCH(F8,Propiedades!I$5:I$38,0))</x:f>
        <x:v>H2-ANTORCHA</x:v>
      </x:c>
      <x:c r="H8" s="54" t="n">
        <x:f>MAX(Propiedades!I5:I38)</x:f>
        <x:v>5690.716319</x:v>
      </x:c>
      <x:c r="I8" s="33" t="str">
        <x:f>INDEX(Propiedades!$B$5:$B$38,MATCH(H8,Propiedades!I$5:I$38,0))</x:f>
        <x:v>RX-OUT</x:v>
      </x:c>
      <x:c r="J8" s="34" t="str">
        <x:v>kg/h</x:v>
      </x:c>
      <x:c r="L8" s="31" t="str">
        <x:f>Propiedades!B8</x:f>
        <x:v>H2-310</x:v>
      </x:c>
      <x:c r="M8" s="160" t="n">
        <x:f>Propiedades!K8</x:f>
        <x:v>1364430.939</x:v>
      </x:c>
    </x:row>
    <x:row r="9">
      <x:c r="E9" s="31" t="str">
        <x:v>Liquid Volume Flow</x:v>
      </x:c>
      <x:c r="F9" s="54" t="n">
        <x:f>MIN(Propiedades!J5:J38)</x:f>
        <x:v>0.001818621</x:v>
      </x:c>
      <x:c r="G9" s="33" t="str">
        <x:f>INDEX(Propiedades!$B$5:$B$38,MATCH(F9,Propiedades!J$5:J$38,0))</x:f>
        <x:v>H2-ANTORCHA</x:v>
      </x:c>
      <x:c r="H9" s="54" t="n">
        <x:f>MAX(Propiedades!J5:J38)</x:f>
        <x:v>10.47032713</x:v>
      </x:c>
      <x:c r="I9" s="33" t="str">
        <x:f>INDEX(Propiedades!$B$5:$B$38,MATCH(H9,Propiedades!J$5:J$38,0))</x:f>
        <x:v>MIX-GAS</x:v>
      </x:c>
      <x:c r="J9" s="34" t="str">
        <x:v>m³/h</x:v>
      </x:c>
      <x:c r="L9" s="31" t="str">
        <x:f>Propiedades!B9</x:f>
        <x:v>MIX-GAS</x:v>
      </x:c>
      <x:c r="M9" s="160" t="n">
        <x:f>Propiedades!K9</x:f>
        <x:v>6206087.999</x:v>
      </x:c>
    </x:row>
    <x:row r="10">
      <x:c r="E10" s="35" t="str">
        <x:v>Heat Flow</x:v>
      </x:c>
      <x:c r="F10" s="56" t="n">
        <x:f>MIN(Propiedades!K5:K38)</x:f>
        <x:v>-22023620.73</x:v>
      </x:c>
      <x:c r="G10" s="37" t="str">
        <x:f>INDEX(Propiedades!$B$5:$B$38,MATCH(F10,Propiedades!K$5:K$38,0))</x:f>
        <x:v>GAS-30</x:v>
      </x:c>
      <x:c r="H10" s="56" t="n">
        <x:f>MAX(Propiedades!K5:K38)</x:f>
        <x:v>9155190.824</x:v>
      </x:c>
      <x:c r="I10" s="37" t="str">
        <x:f>INDEX(Propiedades!$B$5:$B$38,MATCH(H10,Propiedades!K$5:K$38,0))</x:f>
        <x:v>GAS-5BAR</x:v>
      </x:c>
      <x:c r="J10" s="38" t="str">
        <x:v>kJ/h</x:v>
      </x:c>
      <x:c r="L10" s="31" t="str">
        <x:f>Propiedades!B10</x:f>
        <x:v>GAS-5BAR</x:v>
      </x:c>
      <x:c r="M10" s="160" t="n">
        <x:f>Propiedades!K10</x:f>
        <x:v>9155190.824</x:v>
      </x:c>
    </x:row>
    <x:row r="11">
      <x:c r="A11" s="28" t="str">
        <x:v>Balance de calor</x:v>
      </x:c>
      <x:c r="B11" s="29" t="str">
        <x:v>Valor</x:v>
      </x:c>
      <x:c r="C11" s="30" t="str">
        <x:v>Unidad</x:v>
      </x:c>
      <x:c r="L11" s="31" t="str">
        <x:f>Propiedades!B11</x:f>
        <x:v>GAS-340</x:v>
      </x:c>
      <x:c r="M11" s="160" t="n">
        <x:f>Propiedades!K11</x:f>
        <x:v>6658375.206</x:v>
      </x:c>
    </x:row>
    <x:row r="12">
      <x:c r="A12" s="31" t="str">
        <x:v>Suma Heat Flow</x:v>
      </x:c>
      <x:c r="B12" s="54" t="n">
        <x:f>SUM(Propiedades!K5:K38)</x:f>
        <x:v>-59586823.77781881</x:v>
      </x:c>
      <x:c r="C12" s="34" t="str">
        <x:v>kJ/h</x:v>
      </x:c>
      <x:c r="L12" s="31" t="str">
        <x:f>Propiedades!B12</x:f>
        <x:v>RX-OUT</x:v>
      </x:c>
      <x:c r="M12" s="160" t="n">
        <x:f>Propiedades!K12</x:f>
        <x:v>-12552120.52</x:v>
      </x:c>
    </x:row>
    <x:row r="13">
      <x:c r="A13" s="31" t="str">
        <x:v>Suma Heat Flow</x:v>
      </x:c>
      <x:c r="B13" s="54" t="n">
        <x:f>B12/3600</x:f>
        <x:v>-16551.895493838558</x:v>
      </x:c>
      <x:c r="C13" s="34" t="str">
        <x:v>kW</x:v>
      </x:c>
      <x:c r="E13" s="28" t="str">
        <x:v>Nota</x:v>
      </x:c>
      <x:c r="F13" s="29" t="str"/>
      <x:c r="G13" s="29" t="str"/>
      <x:c r="H13" s="29" t="str"/>
      <x:c r="I13" s="29" t="str"/>
      <x:c r="J13" s="30" t="str"/>
      <x:c r="L13" s="31" t="str">
        <x:f>Propiedades!B13</x:f>
        <x:v>GAS-250</x:v>
      </x:c>
      <x:c r="M13" s="160" t="n">
        <x:f>Propiedades!K13</x:f>
        <x:v>-13772942.72</x:v>
      </x:c>
    </x:row>
    <x:row r="14">
      <x:c r="A14" s="31" t="str">
        <x:v>Cargas positivas</x:v>
      </x:c>
      <x:c r="B14" s="54" t="n">
        <x:f>SUMIF(Propiedades!K5:K38,"&gt;0",Propiedades!K5:K38)</x:f>
        <x:v>43208441.3497312</x:v>
      </x:c>
      <x:c r="C14" s="34" t="str">
        <x:v>kJ/h</x:v>
      </x:c>
      <x:c r="E14" s="148" t="str">
        <x:v>Se eliminaron las corrientes NADA, NADA-2 y NADA_1.</x:v>
      </x:c>
      <x:c r="F14" s="149" t="str"/>
      <x:c r="G14" s="149" t="str"/>
      <x:c r="H14" s="149" t="str"/>
      <x:c r="I14" s="149" t="str"/>
      <x:c r="J14" s="150" t="str"/>
      <x:c r="L14" s="31" t="str">
        <x:f>Propiedades!B14</x:f>
        <x:v>GAS-30</x:v>
      </x:c>
      <x:c r="M14" s="160" t="n">
        <x:f>Propiedades!K14</x:f>
        <x:v>-22023620.73</x:v>
      </x:c>
    </x:row>
    <x:row r="15">
      <x:c r="A15" s="35" t="str">
        <x:v>Cargas negativas</x:v>
      </x:c>
      <x:c r="B15" s="56" t="n">
        <x:f>SUMIF(Propiedades!K5:K38,"&lt;0",Propiedades!K5:K38)</x:f>
        <x:v>-102795265.12755</x:v>
      </x:c>
      <x:c r="C15" s="38" t="str">
        <x:v>kJ/h</x:v>
      </x:c>
      <x:c r="E15" s="148" t="str">
        <x:v>La columna Estado estimado se basa en la fracción de vapor: 0 = líquido, 1 = vapor y valores intermedios = dos fases.</x:v>
      </x:c>
      <x:c r="F15" s="149" t="str"/>
      <x:c r="G15" s="149" t="str"/>
      <x:c r="H15" s="149" t="str"/>
      <x:c r="I15" s="149" t="str"/>
      <x:c r="J15" s="150" t="str"/>
      <x:c r="L15" s="31" t="str">
        <x:f>Propiedades!B15</x:f>
        <x:v>H2-SPLIT</x:v>
      </x:c>
      <x:c r="M15" s="160" t="n">
        <x:f>Propiedades!K15</x:f>
        <x:v>-438934.2396</x:v>
      </x:c>
    </x:row>
    <x:row r="16">
      <x:c r="E16" s="148" t="str">
        <x:v>La conversión de Heat Flow a kW se calculó como kJ/h ÷ 3600.</x:v>
      </x:c>
      <x:c r="F16" s="149" t="str"/>
      <x:c r="G16" s="149" t="str"/>
      <x:c r="H16" s="149" t="str"/>
      <x:c r="I16" s="149" t="str"/>
      <x:c r="J16" s="150" t="str"/>
      <x:c r="L16" s="31" t="str">
        <x:f>Propiedades!B16</x:f>
        <x:v>LIQ-SPLIT</x:v>
      </x:c>
      <x:c r="M16" s="160" t="n">
        <x:f>Propiedades!K16</x:f>
        <x:v>-21584686.5</x:v>
      </x:c>
    </x:row>
    <x:row r="17">
      <x:c r="E17" s="151" t="str">
        <x:v>Los signos de Heat Flow se conservaron tal como vienen del simulador.</x:v>
      </x:c>
      <x:c r="F17" s="152" t="str"/>
      <x:c r="G17" s="152" t="str"/>
      <x:c r="H17" s="152" t="str"/>
      <x:c r="I17" s="152" t="str"/>
      <x:c r="J17" s="153" t="str"/>
      <x:c r="L17" s="31" t="str">
        <x:f>Propiedades!B17</x:f>
        <x:v>ORG-110</x:v>
      </x:c>
      <x:c r="M17" s="160" t="n">
        <x:f>Propiedades!K17</x:f>
        <x:v>-1438633.791</x:v>
      </x:c>
    </x:row>
    <x:row r="18">
      <x:c r="L18" s="31" t="str">
        <x:f>Propiedades!B18</x:f>
        <x:v>AN-NB FONDO</x:v>
      </x:c>
      <x:c r="M18" s="160" t="n">
        <x:f>Propiedades!K18</x:f>
        <x:v>2667470.562</x:v>
      </x:c>
    </x:row>
    <x:row r="19">
      <x:c r="L19" s="31" t="str">
        <x:f>Propiedades!B19</x:f>
        <x:v>H2O-NB</x:v>
      </x:c>
      <x:c r="M19" s="160" t="n">
        <x:f>Propiedades!K19</x:f>
        <x:v>-3841886.934</x:v>
      </x:c>
    </x:row>
    <x:row r="20">
      <x:c r="L20" s="31" t="str">
        <x:f>Propiedades!B20</x:f>
        <x:v>AN-NB-110</x:v>
      </x:c>
      <x:c r="M20" s="160" t="n">
        <x:f>Propiedades!K20</x:f>
        <x:v>2086992.654</x:v>
      </x:c>
    </x:row>
    <x:row r="21">
      <x:c r="L21" s="31" t="str">
        <x:f>Propiedades!B21</x:f>
        <x:v>H2-ANTORCHA</x:v>
      </x:c>
      <x:c r="M21" s="160" t="n">
        <x:f>Propiedades!K21</x:f>
        <x:v>-13090.89201</x:v>
      </x:c>
    </x:row>
    <x:row r="22">
      <x:c r="L22" s="31" t="str">
        <x:f>Propiedades!B22</x:f>
        <x:v>ORGANICA</x:v>
      </x:c>
      <x:c r="M22" s="160" t="n">
        <x:f>Propiedades!K22</x:f>
        <x:v>-2439672.883</x:v>
      </x:c>
    </x:row>
    <x:row r="23">
      <x:c r="L23" s="31" t="str">
        <x:f>Propiedades!B23</x:f>
        <x:v>H2O-FONDO_1</x:v>
      </x:c>
      <x:c r="M23" s="160" t="n">
        <x:f>Propiedades!K23</x:f>
        <x:v>-19145013.61</x:v>
      </x:c>
    </x:row>
    <x:row r="24">
      <x:c r="L24" s="31" t="str">
        <x:f>Propiedades!B24</x:f>
        <x:v>ANILINA-NB-SEP</x:v>
      </x:c>
      <x:c r="M24" s="160" t="n">
        <x:f>Propiedades!K24</x:f>
        <x:v>592.4596712</x:v>
      </x:c>
    </x:row>
    <x:row r="25">
      <x:c r="L25" s="31" t="str">
        <x:f>Propiedades!B25</x:f>
        <x:v>H2O-FONDO_2</x:v>
      </x:c>
      <x:c r="M25" s="160" t="n">
        <x:f>Propiedades!K25</x:f>
        <x:v>-3842479.394</x:v>
      </x:c>
    </x:row>
    <x:row r="26">
      <x:c r="L26" s="31" t="str">
        <x:f>Propiedades!B26</x:f>
        <x:v>H2-1ATM</x:v>
      </x:c>
      <x:c r="M26" s="160" t="n">
        <x:f>Propiedades!K26</x:f>
        <x:v>-438964.6755</x:v>
      </x:c>
    </x:row>
    <x:row r="27">
      <x:c r="L27" s="31" t="str">
        <x:f>Propiedades!B27</x:f>
        <x:v>H2 TOTAL</x:v>
      </x:c>
      <x:c r="M27" s="160" t="n">
        <x:f>Propiedades!K27</x:f>
        <x:v>-376749.2992</x:v>
      </x:c>
    </x:row>
    <x:row r="28">
      <x:c r="L28" s="31" t="str">
        <x:f>Propiedades!B28</x:f>
        <x:v>REC-H2</x:v>
      </x:c>
      <x:c r="M28" s="160" t="n">
        <x:f>Propiedades!K28</x:f>
        <x:v>-443234.4696</x:v>
      </x:c>
    </x:row>
    <x:row r="29">
      <x:c r="L29" s="31" t="str">
        <x:f>Propiedades!B29</x:f>
        <x:v>PURGA-ANTORCHA</x:v>
      </x:c>
      <x:c r="M29" s="160" t="n">
        <x:f>Propiedades!K29</x:f>
        <x:v>-66485.17044</x:v>
      </x:c>
    </x:row>
    <x:row r="30">
      <x:c r="L30" s="31" t="str">
        <x:f>Propiedades!B30</x:f>
        <x:v>REC</x:v>
      </x:c>
      <x:c r="M30" s="160" t="n">
        <x:f>Propiedades!K30</x:f>
        <x:v>-376749.2992</x:v>
      </x:c>
    </x:row>
    <x:row r="31">
      <x:c r="L31" s="31" t="str">
        <x:f>Propiedades!B31</x:f>
        <x:v>AN-NB MIXED</x:v>
      </x:c>
      <x:c r="M31" s="160" t="n">
        <x:f>Propiedades!K31</x:f>
        <x:v>2087585.114</x:v>
      </x:c>
    </x:row>
    <x:row r="32">
      <x:c r="L32" s="31" t="str">
        <x:f>Propiedades!B32</x:f>
        <x:v>NB-HOT</x:v>
      </x:c>
      <x:c r="M32" s="160" t="n">
        <x:f>Propiedades!K32</x:f>
        <x:v>3443692.642</x:v>
      </x:c>
    </x:row>
    <x:row r="33">
      <x:c r="L33" s="31" t="str">
        <x:f>Propiedades!B33</x:f>
        <x:v>H2-HOT</x:v>
      </x:c>
      <x:c r="M33" s="160" t="n">
        <x:f>Propiedades!K33</x:f>
        <x:v>844072.9062</x:v>
      </x:c>
    </x:row>
    <x:row r="34">
      <x:c r="L34" s="31" t="str">
        <x:f>Propiedades!B34</x:f>
        <x:v>NBZ-REC</x:v>
      </x:c>
      <x:c r="M34" s="160" t="n">
        <x:f>Propiedades!K34</x:f>
        <x:v>30986.85704</x:v>
      </x:c>
    </x:row>
    <x:row r="35">
      <x:c r="L35" s="31" t="str">
        <x:f>Propiedades!B35</x:f>
        <x:v>NB-MIX</x:v>
      </x:c>
      <x:c r="M35" s="160" t="n">
        <x:f>Propiedades!K35</x:f>
        <x:v>946877.023</x:v>
      </x:c>
    </x:row>
    <x:row r="36">
      <x:c r="L36" s="31" t="str">
        <x:f>Propiedades!B36</x:f>
        <x:v>ANILINA</x:v>
      </x:c>
      <x:c r="M36" s="160" t="n">
        <x:f>Propiedades!K36</x:f>
        <x:v>1896512.655</x:v>
      </x:c>
    </x:row>
    <x:row r="37">
      <x:c r="L37" s="31" t="str">
        <x:f>Propiedades!B37</x:f>
        <x:v>NBZ</x:v>
      </x:c>
      <x:c r="M37" s="160" t="n">
        <x:f>Propiedades!K37</x:f>
        <x:v>31006.96935</x:v>
      </x:c>
    </x:row>
    <x:row r="38">
      <x:c r="L38" s="35" t="str">
        <x:f>Propiedades!B38</x:f>
        <x:v>NBZ 1ATM</x:v>
      </x:c>
      <x:c r="M38" s="161" t="n">
        <x:f>Propiedades!K38</x:f>
        <x:v>31019.31257</x:v>
      </x:c>
    </x:row>
  </x:sheetData>
  <x:mergeCells>
    <x:mergeCell ref="A1:J2"/>
    <x:mergeCell ref="E13:J13"/>
    <x:mergeCell ref="E14:J14"/>
    <x:mergeCell ref="E15:J15"/>
    <x:mergeCell ref="E16:J16"/>
    <x:mergeCell ref="E17:J17"/>
  </x:mergeCells>
  <x:pageMargins left="0.7" right="0.7" top="0.75" bottom="0.75" header="0.3" footer="0.3"/>
  <x:drawing xmlns:r="http://schemas.openxmlformats.org/officeDocument/2006/relationships" r:id="Rfea26880282644de"/>
</x:worksheet>
</file>