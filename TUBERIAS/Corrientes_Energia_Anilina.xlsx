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13_ncr:1_{5973DAED-8E19-4ED4-9685-62679EAA5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ientes de Energía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E11" i="2"/>
  <c r="D11" i="2"/>
  <c r="E10" i="2"/>
  <c r="D10" i="2"/>
  <c r="E9" i="2"/>
  <c r="D9" i="2"/>
  <c r="E8" i="2"/>
  <c r="D8" i="2"/>
  <c r="B8" i="2"/>
  <c r="E7" i="2"/>
  <c r="D7" i="2"/>
  <c r="B7" i="2"/>
  <c r="B10" i="2" s="1"/>
  <c r="F6" i="2"/>
  <c r="E6" i="2"/>
  <c r="D6" i="2"/>
  <c r="B6" i="2"/>
  <c r="B9" i="2" s="1"/>
  <c r="E5" i="2"/>
  <c r="D5" i="2"/>
  <c r="B5" i="2"/>
  <c r="F16" i="1"/>
  <c r="F15" i="1"/>
  <c r="F14" i="1"/>
  <c r="F13" i="1"/>
  <c r="F12" i="1"/>
  <c r="F12" i="2" s="1"/>
  <c r="F11" i="1"/>
  <c r="F11" i="2" s="1"/>
  <c r="F10" i="1"/>
  <c r="F10" i="2" s="1"/>
  <c r="F9" i="1"/>
  <c r="F9" i="2" s="1"/>
  <c r="F8" i="1"/>
  <c r="F8" i="2" s="1"/>
  <c r="F7" i="1"/>
  <c r="F7" i="2" s="1"/>
  <c r="F6" i="1"/>
  <c r="F5" i="1"/>
  <c r="F5" i="2" s="1"/>
</calcChain>
</file>

<file path=xl/sharedStrings.xml><?xml version="1.0" encoding="utf-8"?>
<sst xmlns="http://schemas.openxmlformats.org/spreadsheetml/2006/main" count="85" uniqueCount="48">
  <si>
    <t>Tabla ordenada de corrientes de energía – Planta de Anilina</t>
  </si>
  <si>
    <t>No.</t>
  </si>
  <si>
    <t>Stream Name</t>
  </si>
  <si>
    <t>Clasificación</t>
  </si>
  <si>
    <t>Unit</t>
  </si>
  <si>
    <t>Heat Flow [kJ/h]</t>
  </si>
  <si>
    <t>Heat Flow [kW]</t>
  </si>
  <si>
    <t>Tipo de carga</t>
  </si>
  <si>
    <t>Interpretación</t>
  </si>
  <si>
    <t>Q-E100</t>
  </si>
  <si>
    <t>Intercambiador de calor</t>
  </si>
  <si>
    <t>kJ/h</t>
  </si>
  <si>
    <t>Aporte / consumo</t>
  </si>
  <si>
    <t>Calor suministrado o carga térmica positiva según convención de signo.</t>
  </si>
  <si>
    <t>Q-H100</t>
  </si>
  <si>
    <t>Calentador</t>
  </si>
  <si>
    <t>W-CO100</t>
  </si>
  <si>
    <t>Trabajo mecánico</t>
  </si>
  <si>
    <t>Trabajo mecánico consumido por equipo.</t>
  </si>
  <si>
    <t>Q-E103</t>
  </si>
  <si>
    <t>Q-E104</t>
  </si>
  <si>
    <t>C-T101</t>
  </si>
  <si>
    <t>Condensador / servicio de enfriamiento</t>
  </si>
  <si>
    <t>R-T101</t>
  </si>
  <si>
    <t>Reboiler / servicio de calentamiento</t>
  </si>
  <si>
    <t>Q-E105</t>
  </si>
  <si>
    <t>Q-R100</t>
  </si>
  <si>
    <t>Reactor / control térmico</t>
  </si>
  <si>
    <t>Retiro de calor</t>
  </si>
  <si>
    <t>Calor retirado del sistema según convención de signo.</t>
  </si>
  <si>
    <t>C-T103</t>
  </si>
  <si>
    <t>D-T103</t>
  </si>
  <si>
    <t>Destilación / servicio térmico</t>
  </si>
  <si>
    <t>E-BOMBA</t>
  </si>
  <si>
    <t>Trabajo de bomba</t>
  </si>
  <si>
    <t>Resumen de corrientes de energía</t>
  </si>
  <si>
    <t>Indicador</t>
  </si>
  <si>
    <t>Valor</t>
  </si>
  <si>
    <t>Total de corrientes</t>
  </si>
  <si>
    <t>Cargas positivas [kJ/h]</t>
  </si>
  <si>
    <t>Cargas negativas [kJ/h]</t>
  </si>
  <si>
    <t>Balance neto [kJ/h]</t>
  </si>
  <si>
    <t>Carga positiva total [kW]</t>
  </si>
  <si>
    <t>Carga negativa total [kW]</t>
  </si>
  <si>
    <t>Nota</t>
  </si>
  <si>
    <t>Se conservaron los signos originales del Heat Flow. Los valores positivos se interpretan como carga térmica positiva o consumo de trabajo; el valor negativo indica retiro de calor según la convención del simulador.</t>
  </si>
  <si>
    <t>La conversión a kW se calculó con la relación: kW = kJ/h ÷ 3600.</t>
  </si>
  <si>
    <t>La clasificación se agregó para ordenar visualmente las corrientes de energía por tipo de equipo o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</si>
</sst>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color rgb="FF9C0006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8F9F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5" xfId="0" applyFill="1" applyBorder="1" applyAlignment="1">
      <alignment horizontal="center" vertical="top" wrapText="1"/>
    </xf>
    <xf numFmtId="4" fontId="0" fillId="6" borderId="5" xfId="0" applyNumberFormat="1" applyFill="1" applyBorder="1" applyAlignment="1">
      <alignment horizontal="center" vertical="top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8" xfId="0" applyFill="1" applyBorder="1" applyAlignment="1">
      <alignment horizontal="center" vertical="top" wrapText="1"/>
    </xf>
    <xf numFmtId="4" fontId="0" fillId="6" borderId="8" xfId="0" applyNumberFormat="1" applyFill="1" applyBorder="1" applyAlignment="1">
      <alignment horizontal="center" vertical="top" wrapText="1"/>
    </xf>
    <xf numFmtId="0" fontId="0" fillId="6" borderId="9" xfId="0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4" fontId="3" fillId="4" borderId="10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4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4" fontId="3" fillId="4" borderId="17" xfId="0" applyNumberFormat="1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Heat Flow por corriente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Heat Flow [kJ/h]</c:v>
          </c:tx>
          <c:invertIfNegative val="1"/>
          <c:cat>
            <c:strRef>
              <c:f>Resumen!$D$5:$D$16</c:f>
              <c:strCache>
                <c:ptCount val="8"/>
                <c:pt idx="0">
                  <c:v>Q-E100</c:v>
                </c:pt>
                <c:pt idx="1">
                  <c:v>Q-H100</c:v>
                </c:pt>
                <c:pt idx="2">
                  <c:v>W-CO100</c:v>
                </c:pt>
                <c:pt idx="3">
                  <c:v>Q-E103</c:v>
                </c:pt>
                <c:pt idx="4">
                  <c:v>Q-E104</c:v>
                </c:pt>
                <c:pt idx="5">
                  <c:v>C-T101</c:v>
                </c:pt>
                <c:pt idx="6">
                  <c:v>R-T101</c:v>
                </c:pt>
                <c:pt idx="7">
                  <c:v>Q-E105</c:v>
                </c:pt>
              </c:strCache>
            </c:strRef>
          </c:cat>
          <c:val>
            <c:numRef>
              <c:f>Resumen!$E$5:$E$16</c:f>
              <c:numCache>
                <c:formatCode>#,##0.00</c:formatCode>
                <c:ptCount val="12"/>
                <c:pt idx="0">
                  <c:v>1397964.419</c:v>
                </c:pt>
                <c:pt idx="1">
                  <c:v>520358.03259999998</c:v>
                </c:pt>
                <c:pt idx="2">
                  <c:v>2949102.8250000002</c:v>
                </c:pt>
                <c:pt idx="3">
                  <c:v>8250678.0099999998</c:v>
                </c:pt>
                <c:pt idx="4">
                  <c:v>1001039.091</c:v>
                </c:pt>
                <c:pt idx="5">
                  <c:v>1774879.175</c:v>
                </c:pt>
                <c:pt idx="6">
                  <c:v>2025991.2290000001</c:v>
                </c:pt>
                <c:pt idx="7">
                  <c:v>580477.90760000004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9-46CB-9E2F-E14D10CB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502920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rrientesEnergia" displayName="TablaCorrientesEnergia" ref="A4:H16" headerRowDxfId="1" totalsRowDxfId="0" headerRowBorderDxfId="10" tableBorderDxfId="11">
  <tableColumns count="8">
    <tableColumn id="1" xr3:uid="{00000000-0010-0000-0000-000001000000}" name="No." dataDxfId="9"/>
    <tableColumn id="2" xr3:uid="{00000000-0010-0000-0000-000002000000}" name="Stream Name" dataDxfId="8"/>
    <tableColumn id="3" xr3:uid="{00000000-0010-0000-0000-000003000000}" name="Clasificación" dataDxfId="7"/>
    <tableColumn id="4" xr3:uid="{00000000-0010-0000-0000-000004000000}" name="Unit" dataDxfId="6"/>
    <tableColumn id="5" xr3:uid="{00000000-0010-0000-0000-000005000000}" name="Heat Flow [kJ/h]" dataDxfId="5"/>
    <tableColumn id="6" xr3:uid="{00000000-0010-0000-0000-000006000000}" name="Heat Flow [kW]" dataDxfId="4"/>
    <tableColumn id="7" xr3:uid="{00000000-0010-0000-0000-000007000000}" name="Tipo de carga" dataDxfId="3"/>
    <tableColumn id="8" xr3:uid="{00000000-0010-0000-0000-000008000000}" name="Interpret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C18" sqref="C18"/>
    </sheetView>
  </sheetViews>
  <sheetFormatPr baseColWidth="10" defaultColWidth="8.796875" defaultRowHeight="13.8"/>
  <cols>
    <col min="1" max="1" width="8" customWidth="1"/>
    <col min="2" max="2" width="18" customWidth="1"/>
    <col min="3" max="3" width="34" customWidth="1"/>
    <col min="4" max="4" width="12" customWidth="1"/>
    <col min="5" max="7" width="18" customWidth="1"/>
    <col min="8" max="8" width="54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4" spans="1:8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7" t="s">
        <v>8</v>
      </c>
    </row>
    <row r="5" spans="1:8" ht="27.6">
      <c r="A5" s="28">
        <v>1</v>
      </c>
      <c r="B5" s="29" t="s">
        <v>9</v>
      </c>
      <c r="C5" s="29" t="s">
        <v>10</v>
      </c>
      <c r="D5" s="30" t="s">
        <v>11</v>
      </c>
      <c r="E5" s="31">
        <v>1397964.419</v>
      </c>
      <c r="F5" s="31">
        <f t="shared" ref="F5:F16" si="0">E5/3600</f>
        <v>388.32344972222222</v>
      </c>
      <c r="G5" s="32" t="s">
        <v>12</v>
      </c>
      <c r="H5" s="33" t="s">
        <v>13</v>
      </c>
    </row>
    <row r="6" spans="1:8" ht="27.6">
      <c r="A6" s="28">
        <v>2</v>
      </c>
      <c r="B6" s="29" t="s">
        <v>14</v>
      </c>
      <c r="C6" s="29" t="s">
        <v>15</v>
      </c>
      <c r="D6" s="30" t="s">
        <v>11</v>
      </c>
      <c r="E6" s="31">
        <v>520358.03259999998</v>
      </c>
      <c r="F6" s="31">
        <f t="shared" si="0"/>
        <v>144.54389794444444</v>
      </c>
      <c r="G6" s="32" t="s">
        <v>12</v>
      </c>
      <c r="H6" s="33" t="s">
        <v>13</v>
      </c>
    </row>
    <row r="7" spans="1:8">
      <c r="A7" s="28">
        <v>3</v>
      </c>
      <c r="B7" s="29" t="s">
        <v>16</v>
      </c>
      <c r="C7" s="29" t="s">
        <v>17</v>
      </c>
      <c r="D7" s="30" t="s">
        <v>11</v>
      </c>
      <c r="E7" s="31">
        <v>2949102.8250000002</v>
      </c>
      <c r="F7" s="31">
        <f t="shared" si="0"/>
        <v>819.19522916666676</v>
      </c>
      <c r="G7" s="32" t="s">
        <v>12</v>
      </c>
      <c r="H7" s="33" t="s">
        <v>18</v>
      </c>
    </row>
    <row r="8" spans="1:8" ht="27.6">
      <c r="A8" s="28">
        <v>4</v>
      </c>
      <c r="B8" s="29" t="s">
        <v>19</v>
      </c>
      <c r="C8" s="29" t="s">
        <v>10</v>
      </c>
      <c r="D8" s="30" t="s">
        <v>11</v>
      </c>
      <c r="E8" s="31">
        <v>8250678.0099999998</v>
      </c>
      <c r="F8" s="31">
        <f t="shared" si="0"/>
        <v>2291.8550027777778</v>
      </c>
      <c r="G8" s="32" t="s">
        <v>12</v>
      </c>
      <c r="H8" s="33" t="s">
        <v>13</v>
      </c>
    </row>
    <row r="9" spans="1:8" ht="27.6">
      <c r="A9" s="28">
        <v>5</v>
      </c>
      <c r="B9" s="29" t="s">
        <v>20</v>
      </c>
      <c r="C9" s="29" t="s">
        <v>10</v>
      </c>
      <c r="D9" s="30" t="s">
        <v>11</v>
      </c>
      <c r="E9" s="31">
        <v>1001039.091</v>
      </c>
      <c r="F9" s="31">
        <f t="shared" si="0"/>
        <v>278.06641416666668</v>
      </c>
      <c r="G9" s="32" t="s">
        <v>12</v>
      </c>
      <c r="H9" s="33" t="s">
        <v>13</v>
      </c>
    </row>
    <row r="10" spans="1:8" ht="27.6">
      <c r="A10" s="28">
        <v>6</v>
      </c>
      <c r="B10" s="29" t="s">
        <v>21</v>
      </c>
      <c r="C10" s="29" t="s">
        <v>22</v>
      </c>
      <c r="D10" s="30" t="s">
        <v>11</v>
      </c>
      <c r="E10" s="31">
        <v>1774879.175</v>
      </c>
      <c r="F10" s="31">
        <f t="shared" si="0"/>
        <v>493.02199305555558</v>
      </c>
      <c r="G10" s="32" t="s">
        <v>12</v>
      </c>
      <c r="H10" s="33" t="s">
        <v>13</v>
      </c>
    </row>
    <row r="11" spans="1:8" ht="27.6">
      <c r="A11" s="28">
        <v>7</v>
      </c>
      <c r="B11" s="29" t="s">
        <v>23</v>
      </c>
      <c r="C11" s="29" t="s">
        <v>24</v>
      </c>
      <c r="D11" s="30" t="s">
        <v>11</v>
      </c>
      <c r="E11" s="31">
        <v>2025991.2290000001</v>
      </c>
      <c r="F11" s="31">
        <f t="shared" si="0"/>
        <v>562.77534138888893</v>
      </c>
      <c r="G11" s="32" t="s">
        <v>12</v>
      </c>
      <c r="H11" s="33" t="s">
        <v>13</v>
      </c>
    </row>
    <row r="12" spans="1:8" ht="27.6">
      <c r="A12" s="28">
        <v>8</v>
      </c>
      <c r="B12" s="29" t="s">
        <v>25</v>
      </c>
      <c r="C12" s="29" t="s">
        <v>10</v>
      </c>
      <c r="D12" s="30" t="s">
        <v>11</v>
      </c>
      <c r="E12" s="31">
        <v>580477.90760000004</v>
      </c>
      <c r="F12" s="31">
        <f t="shared" si="0"/>
        <v>161.24386322222225</v>
      </c>
      <c r="G12" s="32" t="s">
        <v>12</v>
      </c>
      <c r="H12" s="33" t="s">
        <v>13</v>
      </c>
    </row>
    <row r="13" spans="1:8">
      <c r="A13" s="28">
        <v>9</v>
      </c>
      <c r="B13" s="29" t="s">
        <v>26</v>
      </c>
      <c r="C13" s="29" t="s">
        <v>27</v>
      </c>
      <c r="D13" s="30" t="s">
        <v>11</v>
      </c>
      <c r="E13" s="34">
        <v>-19210495.719999999</v>
      </c>
      <c r="F13" s="34">
        <f t="shared" si="0"/>
        <v>-5336.2488111111106</v>
      </c>
      <c r="G13" s="35" t="s">
        <v>28</v>
      </c>
      <c r="H13" s="33" t="s">
        <v>29</v>
      </c>
    </row>
    <row r="14" spans="1:8" ht="27.6">
      <c r="A14" s="28">
        <v>10</v>
      </c>
      <c r="B14" s="29" t="s">
        <v>30</v>
      </c>
      <c r="C14" s="29" t="s">
        <v>22</v>
      </c>
      <c r="D14" s="30" t="s">
        <v>11</v>
      </c>
      <c r="E14" s="31">
        <v>9835550.4829999991</v>
      </c>
      <c r="F14" s="31">
        <f t="shared" si="0"/>
        <v>2732.0973563888888</v>
      </c>
      <c r="G14" s="32" t="s">
        <v>12</v>
      </c>
      <c r="H14" s="33" t="s">
        <v>13</v>
      </c>
    </row>
    <row r="15" spans="1:8" ht="27.6">
      <c r="A15" s="28">
        <v>11</v>
      </c>
      <c r="B15" s="29" t="s">
        <v>31</v>
      </c>
      <c r="C15" s="29" t="s">
        <v>32</v>
      </c>
      <c r="D15" s="30" t="s">
        <v>11</v>
      </c>
      <c r="E15" s="31">
        <v>9678768.9159999993</v>
      </c>
      <c r="F15" s="31">
        <f t="shared" si="0"/>
        <v>2688.5469211111108</v>
      </c>
      <c r="G15" s="32" t="s">
        <v>12</v>
      </c>
      <c r="H15" s="33" t="s">
        <v>13</v>
      </c>
    </row>
    <row r="16" spans="1:8">
      <c r="A16" s="36">
        <v>12</v>
      </c>
      <c r="B16" s="37" t="s">
        <v>33</v>
      </c>
      <c r="C16" s="37" t="s">
        <v>34</v>
      </c>
      <c r="D16" s="38" t="s">
        <v>11</v>
      </c>
      <c r="E16" s="39">
        <v>12.343222859999999</v>
      </c>
      <c r="F16" s="39">
        <f t="shared" si="0"/>
        <v>3.4286730166666664E-3</v>
      </c>
      <c r="G16" s="40" t="s">
        <v>12</v>
      </c>
      <c r="H16" s="41" t="s">
        <v>18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F22" sqref="F22"/>
    </sheetView>
  </sheetViews>
  <sheetFormatPr baseColWidth="10" defaultColWidth="8.796875" defaultRowHeight="13.8"/>
  <cols>
    <col min="1" max="1" width="30" customWidth="1"/>
    <col min="2" max="2" width="22" customWidth="1"/>
    <col min="4" max="6" width="18" customWidth="1"/>
  </cols>
  <sheetData>
    <row r="1" spans="1:8">
      <c r="A1" s="10" t="s">
        <v>35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4" spans="1:8">
      <c r="A4" s="1" t="s">
        <v>36</v>
      </c>
      <c r="B4" s="3" t="s">
        <v>37</v>
      </c>
      <c r="D4" s="1" t="s">
        <v>2</v>
      </c>
      <c r="E4" s="2" t="s">
        <v>5</v>
      </c>
      <c r="F4" s="3" t="s">
        <v>6</v>
      </c>
    </row>
    <row r="5" spans="1:8">
      <c r="A5" s="4" t="s">
        <v>38</v>
      </c>
      <c r="B5" s="7">
        <f>COUNTA('Corrientes de Energía'!B5:B16)</f>
        <v>12</v>
      </c>
      <c r="D5" s="4" t="str">
        <f>'Corrientes de Energía'!B5</f>
        <v>Q-E100</v>
      </c>
      <c r="E5" s="6">
        <f>'Corrientes de Energía'!E5</f>
        <v>1397964.419</v>
      </c>
      <c r="F5" s="8">
        <f>'Corrientes de Energía'!F5</f>
        <v>388.32344972222222</v>
      </c>
    </row>
    <row r="6" spans="1:8">
      <c r="A6" s="4" t="s">
        <v>39</v>
      </c>
      <c r="B6" s="8">
        <f>SUMIF('Corrientes de Energía'!E5:E16,"&gt;0",'Corrientes de Energía'!E5:E16)</f>
        <v>38014822.431422859</v>
      </c>
      <c r="D6" s="4" t="str">
        <f>'Corrientes de Energía'!B6</f>
        <v>Q-H100</v>
      </c>
      <c r="E6" s="6">
        <f>'Corrientes de Energía'!E6</f>
        <v>520358.03259999998</v>
      </c>
      <c r="F6" s="8">
        <f>'Corrientes de Energía'!F6</f>
        <v>144.54389794444444</v>
      </c>
    </row>
    <row r="7" spans="1:8">
      <c r="A7" s="4" t="s">
        <v>40</v>
      </c>
      <c r="B7" s="8">
        <f>SUMIF('Corrientes de Energía'!E5:E16,"&lt;0",'Corrientes de Energía'!E5:E16)</f>
        <v>-19210495.719999999</v>
      </c>
      <c r="D7" s="4" t="str">
        <f>'Corrientes de Energía'!B7</f>
        <v>W-CO100</v>
      </c>
      <c r="E7" s="6">
        <f>'Corrientes de Energía'!E7</f>
        <v>2949102.8250000002</v>
      </c>
      <c r="F7" s="8">
        <f>'Corrientes de Energía'!F7</f>
        <v>819.19522916666676</v>
      </c>
    </row>
    <row r="8" spans="1:8">
      <c r="A8" s="4" t="s">
        <v>41</v>
      </c>
      <c r="B8" s="8">
        <f>SUM('Corrientes de Energía'!E5:E16)</f>
        <v>18804326.711422864</v>
      </c>
      <c r="D8" s="4" t="str">
        <f>'Corrientes de Energía'!B8</f>
        <v>Q-E103</v>
      </c>
      <c r="E8" s="6">
        <f>'Corrientes de Energía'!E8</f>
        <v>8250678.0099999998</v>
      </c>
      <c r="F8" s="8">
        <f>'Corrientes de Energía'!F8</f>
        <v>2291.8550027777778</v>
      </c>
    </row>
    <row r="9" spans="1:8">
      <c r="A9" s="4" t="s">
        <v>42</v>
      </c>
      <c r="B9" s="8">
        <f>B6/3600</f>
        <v>10559.672897617462</v>
      </c>
      <c r="D9" s="4" t="str">
        <f>'Corrientes de Energía'!B9</f>
        <v>Q-E104</v>
      </c>
      <c r="E9" s="6">
        <f>'Corrientes de Energía'!E9</f>
        <v>1001039.091</v>
      </c>
      <c r="F9" s="8">
        <f>'Corrientes de Energía'!F9</f>
        <v>278.06641416666668</v>
      </c>
    </row>
    <row r="10" spans="1:8">
      <c r="A10" s="5" t="s">
        <v>43</v>
      </c>
      <c r="B10" s="9">
        <f>B7/3600</f>
        <v>-5336.2488111111106</v>
      </c>
      <c r="D10" s="4" t="str">
        <f>'Corrientes de Energía'!B10</f>
        <v>C-T101</v>
      </c>
      <c r="E10" s="6">
        <f>'Corrientes de Energía'!E10</f>
        <v>1774879.175</v>
      </c>
      <c r="F10" s="8">
        <f>'Corrientes de Energía'!F10</f>
        <v>493.02199305555558</v>
      </c>
    </row>
    <row r="11" spans="1:8">
      <c r="D11" s="4" t="str">
        <f>'Corrientes de Energía'!B11</f>
        <v>R-T101</v>
      </c>
      <c r="E11" s="6">
        <f>'Corrientes de Energía'!E11</f>
        <v>2025991.2290000001</v>
      </c>
      <c r="F11" s="8">
        <f>'Corrientes de Energía'!F11</f>
        <v>562.77534138888893</v>
      </c>
    </row>
    <row r="12" spans="1:8">
      <c r="D12" s="4" t="str">
        <f>'Corrientes de Energía'!B12</f>
        <v>Q-E105</v>
      </c>
      <c r="E12" s="6">
        <f>'Corrientes de Energía'!E12</f>
        <v>580477.90760000004</v>
      </c>
      <c r="F12" s="8">
        <f>'Corrientes de Energía'!F12</f>
        <v>161.24386322222225</v>
      </c>
    </row>
    <row r="13" spans="1:8">
      <c r="A13" s="11" t="s">
        <v>44</v>
      </c>
      <c r="B13" s="12"/>
      <c r="C13" s="12"/>
      <c r="D13" s="12"/>
      <c r="E13" s="13"/>
      <c r="F13" s="13"/>
      <c r="G13" s="12"/>
      <c r="H13" s="14"/>
    </row>
    <row r="14" spans="1:8">
      <c r="A14" s="15" t="s">
        <v>45</v>
      </c>
      <c r="B14" s="16"/>
      <c r="C14" s="16"/>
      <c r="D14" s="17"/>
      <c r="E14" s="18"/>
      <c r="F14" s="18"/>
      <c r="G14" s="16"/>
      <c r="H14" s="19"/>
    </row>
    <row r="15" spans="1:8">
      <c r="A15" s="15" t="s">
        <v>46</v>
      </c>
      <c r="B15" s="16"/>
      <c r="C15" s="16"/>
      <c r="D15" s="17"/>
      <c r="E15" s="18"/>
      <c r="F15" s="18"/>
      <c r="G15" s="16"/>
      <c r="H15" s="19"/>
    </row>
    <row r="16" spans="1:8">
      <c r="A16" s="20" t="s">
        <v>47</v>
      </c>
      <c r="B16" s="21"/>
      <c r="C16" s="21"/>
      <c r="D16" s="22"/>
      <c r="E16" s="23"/>
      <c r="F16" s="23"/>
      <c r="G16" s="21"/>
      <c r="H16" s="24"/>
    </row>
  </sheetData>
  <mergeCells count="5">
    <mergeCell ref="A1:H2"/>
    <mergeCell ref="A13:H13"/>
    <mergeCell ref="A14:H14"/>
    <mergeCell ref="A15:H15"/>
    <mergeCell ref="A16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Corrientes de Energía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Vazquez Perez</cp:lastModifiedBy>
  <dcterms:modified xsi:type="dcterms:W3CDTF">2026-06-24T06:10:23Z</dcterms:modified>
</cp:coreProperties>
</file>