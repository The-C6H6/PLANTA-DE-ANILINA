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13_ncr:1_{C3B05FBC-5C68-4F2F-A0BC-5D361B1BE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siciones" sheetId="1" r:id="rId1"/>
    <sheet name="Tabla original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 s="1"/>
  <c r="C8" i="3"/>
  <c r="B8" i="3"/>
  <c r="F7" i="3"/>
  <c r="G7" i="3" s="1"/>
  <c r="C7" i="3"/>
  <c r="B7" i="3" s="1"/>
  <c r="F6" i="3"/>
  <c r="G6" i="3" s="1"/>
  <c r="C6" i="3"/>
  <c r="B6" i="3" s="1"/>
  <c r="F5" i="3"/>
  <c r="G5" i="3" s="1"/>
  <c r="C5" i="3"/>
  <c r="B5" i="3"/>
  <c r="H38" i="1"/>
  <c r="J38" i="1" s="1"/>
  <c r="H37" i="1"/>
  <c r="J37" i="1" s="1"/>
  <c r="H36" i="1"/>
  <c r="J36" i="1" s="1"/>
  <c r="H35" i="1"/>
  <c r="J35" i="1" s="1"/>
  <c r="H34" i="1"/>
  <c r="J34" i="1" s="1"/>
  <c r="J33" i="1"/>
  <c r="H33" i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J23" i="1"/>
  <c r="H23" i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J13" i="1"/>
  <c r="H13" i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</calcChain>
</file>

<file path=xl/sharedStrings.xml><?xml version="1.0" encoding="utf-8"?>
<sst xmlns="http://schemas.openxmlformats.org/spreadsheetml/2006/main" count="173" uniqueCount="69">
  <si>
    <t>Tabla ordenada de composiciones molares – Planta de Anilina</t>
  </si>
  <si>
    <t>No.</t>
  </si>
  <si>
    <t>Stream Name</t>
  </si>
  <si>
    <t>Clasificación</t>
  </si>
  <si>
    <t>Hydrogen</t>
  </si>
  <si>
    <t>NitroBZ</t>
  </si>
  <si>
    <t>H2O</t>
  </si>
  <si>
    <t>Aniline</t>
  </si>
  <si>
    <t>Suma</t>
  </si>
  <si>
    <t>Componente dominante</t>
  </si>
  <si>
    <t>Desviación vs 1</t>
  </si>
  <si>
    <t>NB Fresh</t>
  </si>
  <si>
    <t>Nitrobenceno / orgánica</t>
  </si>
  <si>
    <t>H2-FRESH</t>
  </si>
  <si>
    <t>Gas / hidrógeno</t>
  </si>
  <si>
    <t>NB-310</t>
  </si>
  <si>
    <t>H2-310</t>
  </si>
  <si>
    <t>MIX-GAS</t>
  </si>
  <si>
    <t>GAS-5BAR</t>
  </si>
  <si>
    <t>GAS-340</t>
  </si>
  <si>
    <t>RX-OUT</t>
  </si>
  <si>
    <t>Proceso</t>
  </si>
  <si>
    <t>GAS-250</t>
  </si>
  <si>
    <t>GAS-30</t>
  </si>
  <si>
    <t>H2-SPLIT</t>
  </si>
  <si>
    <t>LIQ-SPLIT</t>
  </si>
  <si>
    <t>Fase orgánica / líquida</t>
  </si>
  <si>
    <t>ORG-110</t>
  </si>
  <si>
    <t>AN-NB FONDO</t>
  </si>
  <si>
    <t>H2O-NB</t>
  </si>
  <si>
    <t>Fase acuosa</t>
  </si>
  <si>
    <t>AN-NB-110</t>
  </si>
  <si>
    <t>H2-ANTORCHA</t>
  </si>
  <si>
    <t>ORGANICA</t>
  </si>
  <si>
    <t>H2O-FONDO_1</t>
  </si>
  <si>
    <t>ANILINA-NB-SEP</t>
  </si>
  <si>
    <t>Producto / anilina</t>
  </si>
  <si>
    <t>H2O-FONDO_2</t>
  </si>
  <si>
    <t>H2-1ATM</t>
  </si>
  <si>
    <t>H2 TOTAL</t>
  </si>
  <si>
    <t>REC-H2</t>
  </si>
  <si>
    <t>PURGA-ANTORCHA</t>
  </si>
  <si>
    <t>REC</t>
  </si>
  <si>
    <t>Recirculación</t>
  </si>
  <si>
    <t>AN-NB MIXED</t>
  </si>
  <si>
    <t>NB-HOT</t>
  </si>
  <si>
    <t>H2-HOT</t>
  </si>
  <si>
    <t>NBZ-REC</t>
  </si>
  <si>
    <t>NB-MIX</t>
  </si>
  <si>
    <t>ANILINA</t>
  </si>
  <si>
    <t>NBZ</t>
  </si>
  <si>
    <t>NBZ 1ATM</t>
  </si>
  <si>
    <t>Datos originales organizados en formato de simulador, sin corrientes NADA</t>
  </si>
  <si>
    <t>Unit</t>
  </si>
  <si>
    <t>Comp Mole Frac (Hydrogen)</t>
  </si>
  <si>
    <t>Comp Mole Frac (NitroBZ)</t>
  </si>
  <si>
    <t>Comp Mole Frac (H2O)</t>
  </si>
  <si>
    <t>Comp Mole Frac (Aniline)</t>
  </si>
  <si>
    <t>Resumen de composiciones molares, sin corrientes NADA</t>
  </si>
  <si>
    <t>Componente</t>
  </si>
  <si>
    <t>Corriente con mayor fracción</t>
  </si>
  <si>
    <t>Fracción molar máxima</t>
  </si>
  <si>
    <t>Cantidad de corrientes</t>
  </si>
  <si>
    <t>Porcentaje</t>
  </si>
  <si>
    <t>Nota</t>
  </si>
  <si>
    <t>Se eliminaron las corrientes NADA, NADA-2 y NADA_1.</t>
  </si>
  <si>
    <t>Los datos se organizaron por corriente en filas y por componente en columnas.</t>
  </si>
  <si>
    <t>La columna Suma verifica que las fracciones molares de Hydrogen, NitroBZ, H2O y Aniline sumen aproximadamente 1.</t>
  </si>
  <si>
    <t>La columna Componente dominante indica el componente con mayor fracción molar en cada corriente.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</si>
</sst>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00E+00"/>
    <numFmt numFmtId="166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1"/>
      <color rgb="FF0B3D9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F"/>
      </patternFill>
    </fill>
    <fill>
      <patternFill patternType="solid">
        <fgColor rgb="FFF8F9F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6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9" borderId="9" xfId="0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164" fontId="0" fillId="0" borderId="17" xfId="0" applyNumberForma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Corrientes por componente dominante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 de corrientes</c:v>
          </c:tx>
          <c:invertIfNegative val="1"/>
          <c:cat>
            <c:strRef>
              <c:f>Resumen!$E$5:$E$8</c:f>
              <c:strCache>
                <c:ptCount val="4"/>
                <c:pt idx="0">
                  <c:v>Hydrogen</c:v>
                </c:pt>
                <c:pt idx="1">
                  <c:v>NitroBZ</c:v>
                </c:pt>
                <c:pt idx="2">
                  <c:v>H2O</c:v>
                </c:pt>
                <c:pt idx="3">
                  <c:v>Aniline</c:v>
                </c:pt>
              </c:strCache>
            </c:strRef>
          </c:cat>
          <c:val>
            <c:numRef>
              <c:f>Resumen!$F$5:$F$8</c:f>
              <c:numCache>
                <c:formatCode>General</c:formatCode>
                <c:ptCount val="4"/>
                <c:pt idx="0">
                  <c:v>15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0-428A-A90D-0E6AD6E5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mposicionesSinNada" displayName="TablaComposicionesSinNada" ref="A4:J38" headerRowDxfId="1" totalsRowDxfId="0" headerRowBorderDxfId="12" tableBorderDxfId="13">
  <tableColumns count="10">
    <tableColumn id="1" xr3:uid="{00000000-0010-0000-0000-000001000000}" name="No." dataDxfId="11"/>
    <tableColumn id="2" xr3:uid="{00000000-0010-0000-0000-000002000000}" name="Stream Name" dataDxfId="10"/>
    <tableColumn id="3" xr3:uid="{00000000-0010-0000-0000-000003000000}" name="Clasificación" dataDxfId="9"/>
    <tableColumn id="4" xr3:uid="{00000000-0010-0000-0000-000004000000}" name="Hydrogen" dataDxfId="8"/>
    <tableColumn id="5" xr3:uid="{00000000-0010-0000-0000-000005000000}" name="NitroBZ" dataDxfId="7"/>
    <tableColumn id="6" xr3:uid="{00000000-0010-0000-0000-000006000000}" name="H2O" dataDxfId="6"/>
    <tableColumn id="7" xr3:uid="{00000000-0010-0000-0000-000007000000}" name="Aniline" dataDxfId="5"/>
    <tableColumn id="8" xr3:uid="{00000000-0010-0000-0000-000008000000}" name="Suma" dataDxfId="4"/>
    <tableColumn id="9" xr3:uid="{00000000-0010-0000-0000-000009000000}" name="Componente dominante" dataDxfId="3"/>
    <tableColumn id="10" xr3:uid="{00000000-0010-0000-0000-00000A000000}" name="Desviación vs 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K4" sqref="K4"/>
    </sheetView>
  </sheetViews>
  <sheetFormatPr baseColWidth="10" defaultColWidth="8.796875" defaultRowHeight="13.8"/>
  <cols>
    <col min="1" max="1" width="7" customWidth="1"/>
    <col min="2" max="2" width="22" customWidth="1"/>
    <col min="3" max="3" width="26" customWidth="1"/>
    <col min="4" max="7" width="14" customWidth="1"/>
    <col min="8" max="8" width="12" customWidth="1"/>
    <col min="9" max="9" width="22" customWidth="1"/>
    <col min="10" max="10" width="16" customWidth="1"/>
  </cols>
  <sheetData>
    <row r="1" spans="1:1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0"/>
      <c r="B2" s="20"/>
      <c r="C2" s="20"/>
      <c r="D2" s="20"/>
      <c r="E2" s="20"/>
      <c r="F2" s="20"/>
      <c r="G2" s="20"/>
      <c r="H2" s="20"/>
      <c r="I2" s="20"/>
      <c r="J2" s="20"/>
    </row>
    <row r="4" spans="1:10" ht="27.6">
      <c r="A4" s="30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1" t="s">
        <v>6</v>
      </c>
      <c r="G4" s="31" t="s">
        <v>7</v>
      </c>
      <c r="H4" s="31" t="s">
        <v>8</v>
      </c>
      <c r="I4" s="31" t="s">
        <v>9</v>
      </c>
      <c r="J4" s="32" t="s">
        <v>10</v>
      </c>
    </row>
    <row r="5" spans="1:10">
      <c r="A5" s="33">
        <v>1</v>
      </c>
      <c r="B5" s="34" t="s">
        <v>11</v>
      </c>
      <c r="C5" s="34" t="s">
        <v>12</v>
      </c>
      <c r="D5" s="35">
        <v>0</v>
      </c>
      <c r="E5" s="35">
        <v>1</v>
      </c>
      <c r="F5" s="35">
        <v>0</v>
      </c>
      <c r="G5" s="35">
        <v>0</v>
      </c>
      <c r="H5" s="35">
        <f t="shared" ref="H5:H38" si="0">SUM(D5:G5)</f>
        <v>1</v>
      </c>
      <c r="I5" s="36" t="s">
        <v>5</v>
      </c>
      <c r="J5" s="37">
        <f t="shared" ref="J5:J38" si="1">ABS(H5-1)</f>
        <v>0</v>
      </c>
    </row>
    <row r="6" spans="1:10">
      <c r="A6" s="33">
        <v>2</v>
      </c>
      <c r="B6" s="34" t="s">
        <v>13</v>
      </c>
      <c r="C6" s="34" t="s">
        <v>14</v>
      </c>
      <c r="D6" s="35">
        <v>1</v>
      </c>
      <c r="E6" s="35">
        <v>0</v>
      </c>
      <c r="F6" s="35">
        <v>0</v>
      </c>
      <c r="G6" s="35">
        <v>0</v>
      </c>
      <c r="H6" s="35">
        <f t="shared" si="0"/>
        <v>1</v>
      </c>
      <c r="I6" s="38" t="s">
        <v>4</v>
      </c>
      <c r="J6" s="37">
        <f t="shared" si="1"/>
        <v>0</v>
      </c>
    </row>
    <row r="7" spans="1:10">
      <c r="A7" s="33">
        <v>3</v>
      </c>
      <c r="B7" s="34" t="s">
        <v>15</v>
      </c>
      <c r="C7" s="34" t="s">
        <v>12</v>
      </c>
      <c r="D7" s="35">
        <v>2.0477000000000001E-32</v>
      </c>
      <c r="E7" s="35">
        <v>0.99999996199999996</v>
      </c>
      <c r="F7" s="35">
        <v>2.0477000000000001E-32</v>
      </c>
      <c r="G7" s="35">
        <v>3.8486200000000002E-8</v>
      </c>
      <c r="H7" s="35">
        <f t="shared" si="0"/>
        <v>1.0000000004862</v>
      </c>
      <c r="I7" s="36" t="s">
        <v>5</v>
      </c>
      <c r="J7" s="37">
        <f t="shared" si="1"/>
        <v>4.861999691740948E-10</v>
      </c>
    </row>
    <row r="8" spans="1:10">
      <c r="A8" s="33">
        <v>4</v>
      </c>
      <c r="B8" s="34" t="s">
        <v>16</v>
      </c>
      <c r="C8" s="34" t="s">
        <v>14</v>
      </c>
      <c r="D8" s="35">
        <v>0.99213828500000001</v>
      </c>
      <c r="E8" s="35">
        <v>1.16058E-5</v>
      </c>
      <c r="F8" s="35">
        <v>7.6372899999999997E-3</v>
      </c>
      <c r="G8" s="35">
        <v>2.1282000000000001E-4</v>
      </c>
      <c r="H8" s="35">
        <f t="shared" si="0"/>
        <v>1.0000000008000001</v>
      </c>
      <c r="I8" s="38" t="s">
        <v>4</v>
      </c>
      <c r="J8" s="37">
        <f t="shared" si="1"/>
        <v>8.000000661922968E-10</v>
      </c>
    </row>
    <row r="9" spans="1:10">
      <c r="A9" s="33">
        <v>5</v>
      </c>
      <c r="B9" s="34" t="s">
        <v>17</v>
      </c>
      <c r="C9" s="34" t="s">
        <v>14</v>
      </c>
      <c r="D9" s="35">
        <v>0.82721528600000005</v>
      </c>
      <c r="E9" s="35">
        <v>0.16623952</v>
      </c>
      <c r="F9" s="35">
        <v>6.3677439999999998E-3</v>
      </c>
      <c r="G9" s="35">
        <v>1.7744899999999999E-4</v>
      </c>
      <c r="H9" s="35">
        <f t="shared" si="0"/>
        <v>0.99999999900000003</v>
      </c>
      <c r="I9" s="38" t="s">
        <v>4</v>
      </c>
      <c r="J9" s="37">
        <f t="shared" si="1"/>
        <v>9.9999997171806854E-10</v>
      </c>
    </row>
    <row r="10" spans="1:10">
      <c r="A10" s="33">
        <v>6</v>
      </c>
      <c r="B10" s="34" t="s">
        <v>18</v>
      </c>
      <c r="C10" s="34" t="s">
        <v>14</v>
      </c>
      <c r="D10" s="35">
        <v>0.82721528600000005</v>
      </c>
      <c r="E10" s="35">
        <v>0.16623952</v>
      </c>
      <c r="F10" s="35">
        <v>6.3677439999999998E-3</v>
      </c>
      <c r="G10" s="35">
        <v>1.7744899999999999E-4</v>
      </c>
      <c r="H10" s="35">
        <f t="shared" si="0"/>
        <v>0.99999999900000003</v>
      </c>
      <c r="I10" s="38" t="s">
        <v>4</v>
      </c>
      <c r="J10" s="37">
        <f t="shared" si="1"/>
        <v>9.9999997171806854E-10</v>
      </c>
    </row>
    <row r="11" spans="1:10">
      <c r="A11" s="33">
        <v>7</v>
      </c>
      <c r="B11" s="34" t="s">
        <v>19</v>
      </c>
      <c r="C11" s="34" t="s">
        <v>14</v>
      </c>
      <c r="D11" s="35">
        <v>0.82721528600000005</v>
      </c>
      <c r="E11" s="35">
        <v>0.16623952</v>
      </c>
      <c r="F11" s="35">
        <v>6.3677439999999998E-3</v>
      </c>
      <c r="G11" s="35">
        <v>1.7744899999999999E-4</v>
      </c>
      <c r="H11" s="35">
        <f t="shared" si="0"/>
        <v>0.99999999900000003</v>
      </c>
      <c r="I11" s="38" t="s">
        <v>4</v>
      </c>
      <c r="J11" s="37">
        <f t="shared" si="1"/>
        <v>9.9999997171806854E-10</v>
      </c>
    </row>
    <row r="12" spans="1:10">
      <c r="A12" s="33">
        <v>8</v>
      </c>
      <c r="B12" s="34" t="s">
        <v>20</v>
      </c>
      <c r="C12" s="34" t="s">
        <v>21</v>
      </c>
      <c r="D12" s="35">
        <v>0.41461363299999998</v>
      </c>
      <c r="E12" s="35">
        <v>7.9123049999999997E-3</v>
      </c>
      <c r="F12" s="35">
        <v>0.38736759399999998</v>
      </c>
      <c r="G12" s="35">
        <v>0.190106469</v>
      </c>
      <c r="H12" s="35">
        <f t="shared" si="0"/>
        <v>1.0000000010000001</v>
      </c>
      <c r="I12" s="38" t="s">
        <v>4</v>
      </c>
      <c r="J12" s="37">
        <f t="shared" si="1"/>
        <v>1.000000082740371E-9</v>
      </c>
    </row>
    <row r="13" spans="1:10">
      <c r="A13" s="33">
        <v>9</v>
      </c>
      <c r="B13" s="34" t="s">
        <v>22</v>
      </c>
      <c r="C13" s="34" t="s">
        <v>14</v>
      </c>
      <c r="D13" s="35">
        <v>0.41461363299999998</v>
      </c>
      <c r="E13" s="35">
        <v>7.9123049999999997E-3</v>
      </c>
      <c r="F13" s="35">
        <v>0.38736759399999998</v>
      </c>
      <c r="G13" s="35">
        <v>0.190106469</v>
      </c>
      <c r="H13" s="35">
        <f t="shared" si="0"/>
        <v>1.0000000010000001</v>
      </c>
      <c r="I13" s="38" t="s">
        <v>4</v>
      </c>
      <c r="J13" s="37">
        <f t="shared" si="1"/>
        <v>1.000000082740371E-9</v>
      </c>
    </row>
    <row r="14" spans="1:10">
      <c r="A14" s="33">
        <v>10</v>
      </c>
      <c r="B14" s="34" t="s">
        <v>23</v>
      </c>
      <c r="C14" s="34" t="s">
        <v>14</v>
      </c>
      <c r="D14" s="35">
        <v>0.41461363299999998</v>
      </c>
      <c r="E14" s="35">
        <v>7.9123049999999997E-3</v>
      </c>
      <c r="F14" s="35">
        <v>0.38736759399999998</v>
      </c>
      <c r="G14" s="35">
        <v>0.190106469</v>
      </c>
      <c r="H14" s="35">
        <f t="shared" si="0"/>
        <v>1.0000000010000001</v>
      </c>
      <c r="I14" s="38" t="s">
        <v>4</v>
      </c>
      <c r="J14" s="37">
        <f t="shared" si="1"/>
        <v>1.000000082740371E-9</v>
      </c>
    </row>
    <row r="15" spans="1:10">
      <c r="A15" s="33">
        <v>11</v>
      </c>
      <c r="B15" s="34" t="s">
        <v>24</v>
      </c>
      <c r="C15" s="34" t="s">
        <v>14</v>
      </c>
      <c r="D15" s="35">
        <v>0.97854984300000003</v>
      </c>
      <c r="E15" s="35">
        <v>3.1665499999999997E-5</v>
      </c>
      <c r="F15" s="35">
        <v>2.0837827E-2</v>
      </c>
      <c r="G15" s="35">
        <v>5.8066499999999996E-4</v>
      </c>
      <c r="H15" s="35">
        <f t="shared" si="0"/>
        <v>1.0000000005</v>
      </c>
      <c r="I15" s="38" t="s">
        <v>4</v>
      </c>
      <c r="J15" s="37">
        <f t="shared" si="1"/>
        <v>5.000000413701855E-10</v>
      </c>
    </row>
    <row r="16" spans="1:10">
      <c r="A16" s="33">
        <v>12</v>
      </c>
      <c r="B16" s="34" t="s">
        <v>25</v>
      </c>
      <c r="C16" s="34" t="s">
        <v>26</v>
      </c>
      <c r="D16" s="35">
        <v>6.8845399999999996E-5</v>
      </c>
      <c r="E16" s="35">
        <v>1.3705297E-2</v>
      </c>
      <c r="F16" s="35">
        <v>0.65680055699999995</v>
      </c>
      <c r="G16" s="35">
        <v>0.32942529999999998</v>
      </c>
      <c r="H16" s="35">
        <f t="shared" si="0"/>
        <v>0.99999999939999995</v>
      </c>
      <c r="I16" s="39" t="s">
        <v>6</v>
      </c>
      <c r="J16" s="37">
        <f t="shared" si="1"/>
        <v>6.000000496442226E-10</v>
      </c>
    </row>
    <row r="17" spans="1:10">
      <c r="A17" s="33">
        <v>13</v>
      </c>
      <c r="B17" s="34" t="s">
        <v>27</v>
      </c>
      <c r="C17" s="34" t="s">
        <v>26</v>
      </c>
      <c r="D17" s="35">
        <v>1.18374E-4</v>
      </c>
      <c r="E17" s="35">
        <v>3.0214428000000002E-2</v>
      </c>
      <c r="F17" s="35">
        <v>0.24925802799999999</v>
      </c>
      <c r="G17" s="35">
        <v>0.72040917000000004</v>
      </c>
      <c r="H17" s="35">
        <f t="shared" si="0"/>
        <v>1</v>
      </c>
      <c r="I17" s="40" t="s">
        <v>7</v>
      </c>
      <c r="J17" s="37">
        <f t="shared" si="1"/>
        <v>0</v>
      </c>
    </row>
    <row r="18" spans="1:10">
      <c r="A18" s="33">
        <v>14</v>
      </c>
      <c r="B18" s="34" t="s">
        <v>28</v>
      </c>
      <c r="C18" s="34" t="s">
        <v>12</v>
      </c>
      <c r="D18" s="35">
        <v>1.16818E-29</v>
      </c>
      <c r="E18" s="35">
        <v>3.9072546999999999E-2</v>
      </c>
      <c r="F18" s="35">
        <v>1.9827859999999998E-3</v>
      </c>
      <c r="G18" s="35">
        <v>0.95894466700000003</v>
      </c>
      <c r="H18" s="35">
        <f t="shared" si="0"/>
        <v>1</v>
      </c>
      <c r="I18" s="40" t="s">
        <v>7</v>
      </c>
      <c r="J18" s="37">
        <f t="shared" si="1"/>
        <v>0</v>
      </c>
    </row>
    <row r="19" spans="1:10">
      <c r="A19" s="33">
        <v>15</v>
      </c>
      <c r="B19" s="34" t="s">
        <v>29</v>
      </c>
      <c r="C19" s="34" t="s">
        <v>30</v>
      </c>
      <c r="D19" s="35">
        <v>1.4018399999999999E-6</v>
      </c>
      <c r="E19" s="35">
        <v>4.4905400000000003E-3</v>
      </c>
      <c r="F19" s="35">
        <v>0.96334686300000005</v>
      </c>
      <c r="G19" s="35">
        <v>3.2161193999999997E-2</v>
      </c>
      <c r="H19" s="35">
        <f t="shared" si="0"/>
        <v>0.99999999884000002</v>
      </c>
      <c r="I19" s="39" t="s">
        <v>6</v>
      </c>
      <c r="J19" s="37">
        <f t="shared" si="1"/>
        <v>1.1599999849565279E-9</v>
      </c>
    </row>
    <row r="20" spans="1:10">
      <c r="A20" s="33">
        <v>16</v>
      </c>
      <c r="B20" s="34" t="s">
        <v>31</v>
      </c>
      <c r="C20" s="34" t="s">
        <v>12</v>
      </c>
      <c r="D20" s="35">
        <v>1.16818E-29</v>
      </c>
      <c r="E20" s="35">
        <v>3.9072546999999999E-2</v>
      </c>
      <c r="F20" s="35">
        <v>1.9827859999999998E-3</v>
      </c>
      <c r="G20" s="35">
        <v>0.95894466700000003</v>
      </c>
      <c r="H20" s="35">
        <f t="shared" si="0"/>
        <v>1</v>
      </c>
      <c r="I20" s="40" t="s">
        <v>7</v>
      </c>
      <c r="J20" s="37">
        <f t="shared" si="1"/>
        <v>0</v>
      </c>
    </row>
    <row r="21" spans="1:10">
      <c r="A21" s="33">
        <v>17</v>
      </c>
      <c r="B21" s="34" t="s">
        <v>32</v>
      </c>
      <c r="C21" s="34" t="s">
        <v>14</v>
      </c>
      <c r="D21" s="35">
        <v>9.4481306000000001E-2</v>
      </c>
      <c r="E21" s="35">
        <v>3.9242570999999997E-2</v>
      </c>
      <c r="F21" s="35">
        <v>0.81669950199999997</v>
      </c>
      <c r="G21" s="35">
        <v>4.9576621000000001E-2</v>
      </c>
      <c r="H21" s="35">
        <f t="shared" si="0"/>
        <v>1</v>
      </c>
      <c r="I21" s="39" t="s">
        <v>6</v>
      </c>
      <c r="J21" s="37">
        <f t="shared" si="1"/>
        <v>0</v>
      </c>
    </row>
    <row r="22" spans="1:10">
      <c r="A22" s="33">
        <v>18</v>
      </c>
      <c r="B22" s="34" t="s">
        <v>33</v>
      </c>
      <c r="C22" s="34" t="s">
        <v>26</v>
      </c>
      <c r="D22" s="35">
        <v>1.18374E-4</v>
      </c>
      <c r="E22" s="35">
        <v>3.0214428000000002E-2</v>
      </c>
      <c r="F22" s="35">
        <v>0.24925802799999999</v>
      </c>
      <c r="G22" s="35">
        <v>0.72040917000000004</v>
      </c>
      <c r="H22" s="35">
        <f t="shared" si="0"/>
        <v>1</v>
      </c>
      <c r="I22" s="40" t="s">
        <v>7</v>
      </c>
      <c r="J22" s="37">
        <f t="shared" si="1"/>
        <v>0</v>
      </c>
    </row>
    <row r="23" spans="1:10">
      <c r="A23" s="33">
        <v>19</v>
      </c>
      <c r="B23" s="34" t="s">
        <v>34</v>
      </c>
      <c r="C23" s="34" t="s">
        <v>30</v>
      </c>
      <c r="D23" s="35">
        <v>2.78811E-5</v>
      </c>
      <c r="E23" s="35">
        <v>5.0840800000000003E-5</v>
      </c>
      <c r="F23" s="35">
        <v>0.99387292900000002</v>
      </c>
      <c r="G23" s="35">
        <v>6.0483489999999997E-3</v>
      </c>
      <c r="H23" s="35">
        <f t="shared" si="0"/>
        <v>0.99999999989999999</v>
      </c>
      <c r="I23" s="39" t="s">
        <v>6</v>
      </c>
      <c r="J23" s="37">
        <f t="shared" si="1"/>
        <v>1.000000082740371E-10</v>
      </c>
    </row>
    <row r="24" spans="1:10">
      <c r="A24" s="33">
        <v>20</v>
      </c>
      <c r="B24" s="34" t="s">
        <v>35</v>
      </c>
      <c r="C24" s="34" t="s">
        <v>36</v>
      </c>
      <c r="D24" s="35">
        <v>1.4484000000000001E-5</v>
      </c>
      <c r="E24" s="35">
        <v>0.175559676</v>
      </c>
      <c r="F24" s="35">
        <v>0.13415301900000001</v>
      </c>
      <c r="G24" s="35">
        <v>0.69027282099999998</v>
      </c>
      <c r="H24" s="35">
        <f t="shared" si="0"/>
        <v>1</v>
      </c>
      <c r="I24" s="40" t="s">
        <v>7</v>
      </c>
      <c r="J24" s="37">
        <f t="shared" si="1"/>
        <v>0</v>
      </c>
    </row>
    <row r="25" spans="1:10">
      <c r="A25" s="33">
        <v>21</v>
      </c>
      <c r="B25" s="34" t="s">
        <v>37</v>
      </c>
      <c r="C25" s="34" t="s">
        <v>30</v>
      </c>
      <c r="D25" s="35">
        <v>1.0798799999999999E-6</v>
      </c>
      <c r="E25" s="35">
        <v>2.8036700000000001E-4</v>
      </c>
      <c r="F25" s="35">
        <v>0.98375410799999996</v>
      </c>
      <c r="G25" s="35">
        <v>1.5964445000000001E-2</v>
      </c>
      <c r="H25" s="35">
        <f t="shared" si="0"/>
        <v>0.99999999987999999</v>
      </c>
      <c r="I25" s="39" t="s">
        <v>6</v>
      </c>
      <c r="J25" s="37">
        <f t="shared" si="1"/>
        <v>1.2000000992884452E-10</v>
      </c>
    </row>
    <row r="26" spans="1:10">
      <c r="A26" s="33">
        <v>22</v>
      </c>
      <c r="B26" s="34" t="s">
        <v>38</v>
      </c>
      <c r="C26" s="34" t="s">
        <v>14</v>
      </c>
      <c r="D26" s="35">
        <v>0.97854984300000003</v>
      </c>
      <c r="E26" s="35">
        <v>3.1665499999999997E-5</v>
      </c>
      <c r="F26" s="35">
        <v>2.0837827E-2</v>
      </c>
      <c r="G26" s="35">
        <v>5.8066499999999996E-4</v>
      </c>
      <c r="H26" s="35">
        <f t="shared" si="0"/>
        <v>1.0000000005</v>
      </c>
      <c r="I26" s="38" t="s">
        <v>4</v>
      </c>
      <c r="J26" s="37">
        <f t="shared" si="1"/>
        <v>5.000000413701855E-10</v>
      </c>
    </row>
    <row r="27" spans="1:10">
      <c r="A27" s="33">
        <v>23</v>
      </c>
      <c r="B27" s="34" t="s">
        <v>39</v>
      </c>
      <c r="C27" s="34" t="s">
        <v>14</v>
      </c>
      <c r="D27" s="35">
        <v>0.99213828500000001</v>
      </c>
      <c r="E27" s="35">
        <v>1.16058E-5</v>
      </c>
      <c r="F27" s="35">
        <v>7.6372899999999997E-3</v>
      </c>
      <c r="G27" s="35">
        <v>2.1282000000000001E-4</v>
      </c>
      <c r="H27" s="35">
        <f t="shared" si="0"/>
        <v>1.0000000008000001</v>
      </c>
      <c r="I27" s="38" t="s">
        <v>4</v>
      </c>
      <c r="J27" s="37">
        <f t="shared" si="1"/>
        <v>8.000000661922968E-10</v>
      </c>
    </row>
    <row r="28" spans="1:10">
      <c r="A28" s="33">
        <v>24</v>
      </c>
      <c r="B28" s="34" t="s">
        <v>40</v>
      </c>
      <c r="C28" s="34" t="s">
        <v>14</v>
      </c>
      <c r="D28" s="35">
        <v>0.97854984300000003</v>
      </c>
      <c r="E28" s="35">
        <v>3.1665599999999997E-5</v>
      </c>
      <c r="F28" s="35">
        <v>2.0837827E-2</v>
      </c>
      <c r="G28" s="35">
        <v>5.8066499999999996E-4</v>
      </c>
      <c r="H28" s="35">
        <f t="shared" si="0"/>
        <v>1.0000000006</v>
      </c>
      <c r="I28" s="38" t="s">
        <v>4</v>
      </c>
      <c r="J28" s="37">
        <f t="shared" si="1"/>
        <v>6.000000496442226E-10</v>
      </c>
    </row>
    <row r="29" spans="1:10">
      <c r="A29" s="33">
        <v>25</v>
      </c>
      <c r="B29" s="34" t="s">
        <v>41</v>
      </c>
      <c r="C29" s="34" t="s">
        <v>14</v>
      </c>
      <c r="D29" s="35">
        <v>0.97854984300000003</v>
      </c>
      <c r="E29" s="35">
        <v>3.1665599999999997E-5</v>
      </c>
      <c r="F29" s="35">
        <v>2.0837827E-2</v>
      </c>
      <c r="G29" s="35">
        <v>5.8066499999999996E-4</v>
      </c>
      <c r="H29" s="35">
        <f t="shared" si="0"/>
        <v>1.0000000006</v>
      </c>
      <c r="I29" s="38" t="s">
        <v>4</v>
      </c>
      <c r="J29" s="37">
        <f t="shared" si="1"/>
        <v>6.000000496442226E-10</v>
      </c>
    </row>
    <row r="30" spans="1:10">
      <c r="A30" s="33">
        <v>26</v>
      </c>
      <c r="B30" s="34" t="s">
        <v>42</v>
      </c>
      <c r="C30" s="34" t="s">
        <v>43</v>
      </c>
      <c r="D30" s="35">
        <v>0.97854984300000003</v>
      </c>
      <c r="E30" s="35">
        <v>3.1665599999999997E-5</v>
      </c>
      <c r="F30" s="35">
        <v>2.0837827E-2</v>
      </c>
      <c r="G30" s="35">
        <v>5.8066499999999996E-4</v>
      </c>
      <c r="H30" s="35">
        <f t="shared" si="0"/>
        <v>1.0000000006</v>
      </c>
      <c r="I30" s="38" t="s">
        <v>4</v>
      </c>
      <c r="J30" s="37">
        <f t="shared" si="1"/>
        <v>6.000000496442226E-10</v>
      </c>
    </row>
    <row r="31" spans="1:10">
      <c r="A31" s="33">
        <v>27</v>
      </c>
      <c r="B31" s="34" t="s">
        <v>44</v>
      </c>
      <c r="C31" s="34" t="s">
        <v>12</v>
      </c>
      <c r="D31" s="35">
        <v>1.19021E-7</v>
      </c>
      <c r="E31" s="35">
        <v>4.0194117000000001E-2</v>
      </c>
      <c r="F31" s="35">
        <v>3.0688820000000002E-3</v>
      </c>
      <c r="G31" s="35">
        <v>0.95673688199999996</v>
      </c>
      <c r="H31" s="35">
        <f t="shared" si="0"/>
        <v>1.0000000000209999</v>
      </c>
      <c r="I31" s="40" t="s">
        <v>7</v>
      </c>
      <c r="J31" s="37">
        <f t="shared" si="1"/>
        <v>2.0999868510784836E-11</v>
      </c>
    </row>
    <row r="32" spans="1:10">
      <c r="A32" s="33">
        <v>28</v>
      </c>
      <c r="B32" s="34" t="s">
        <v>45</v>
      </c>
      <c r="C32" s="34" t="s">
        <v>12</v>
      </c>
      <c r="D32" s="35">
        <v>2.0477000000000001E-32</v>
      </c>
      <c r="E32" s="35">
        <v>0.99999996199999996</v>
      </c>
      <c r="F32" s="35">
        <v>2.0477000000000001E-32</v>
      </c>
      <c r="G32" s="35">
        <v>3.8486200000000002E-8</v>
      </c>
      <c r="H32" s="35">
        <f t="shared" si="0"/>
        <v>1.0000000004862</v>
      </c>
      <c r="I32" s="36" t="s">
        <v>5</v>
      </c>
      <c r="J32" s="37">
        <f t="shared" si="1"/>
        <v>4.861999691740948E-10</v>
      </c>
    </row>
    <row r="33" spans="1:10">
      <c r="A33" s="33">
        <v>29</v>
      </c>
      <c r="B33" s="34" t="s">
        <v>46</v>
      </c>
      <c r="C33" s="34" t="s">
        <v>14</v>
      </c>
      <c r="D33" s="35">
        <v>0.99213828500000001</v>
      </c>
      <c r="E33" s="35">
        <v>1.16058E-5</v>
      </c>
      <c r="F33" s="35">
        <v>7.6372899999999997E-3</v>
      </c>
      <c r="G33" s="35">
        <v>2.1282000000000001E-4</v>
      </c>
      <c r="H33" s="35">
        <f t="shared" si="0"/>
        <v>1.0000000008000001</v>
      </c>
      <c r="I33" s="38" t="s">
        <v>4</v>
      </c>
      <c r="J33" s="37">
        <f t="shared" si="1"/>
        <v>8.000000661922968E-10</v>
      </c>
    </row>
    <row r="34" spans="1:10">
      <c r="A34" s="33">
        <v>30</v>
      </c>
      <c r="B34" s="34" t="s">
        <v>47</v>
      </c>
      <c r="C34" s="34" t="s">
        <v>12</v>
      </c>
      <c r="D34" s="35">
        <v>1.0004E-30</v>
      </c>
      <c r="E34" s="35">
        <v>0.99999811999999999</v>
      </c>
      <c r="F34" s="35">
        <v>1.0004E-30</v>
      </c>
      <c r="G34" s="35">
        <v>1.8802400000000001E-6</v>
      </c>
      <c r="H34" s="35">
        <f t="shared" si="0"/>
        <v>1.00000000024</v>
      </c>
      <c r="I34" s="36" t="s">
        <v>5</v>
      </c>
      <c r="J34" s="37">
        <f t="shared" si="1"/>
        <v>2.4000001985768904E-10</v>
      </c>
    </row>
    <row r="35" spans="1:10">
      <c r="A35" s="33">
        <v>31</v>
      </c>
      <c r="B35" s="34" t="s">
        <v>48</v>
      </c>
      <c r="C35" s="34" t="s">
        <v>12</v>
      </c>
      <c r="D35" s="35">
        <v>2.0477000000000001E-32</v>
      </c>
      <c r="E35" s="35">
        <v>0.99999996199999996</v>
      </c>
      <c r="F35" s="35">
        <v>2.0477000000000001E-32</v>
      </c>
      <c r="G35" s="35">
        <v>3.8486200000000002E-8</v>
      </c>
      <c r="H35" s="35">
        <f t="shared" si="0"/>
        <v>1.0000000004862</v>
      </c>
      <c r="I35" s="36" t="s">
        <v>5</v>
      </c>
      <c r="J35" s="37">
        <f t="shared" si="1"/>
        <v>4.861999691740948E-10</v>
      </c>
    </row>
    <row r="36" spans="1:10">
      <c r="A36" s="33">
        <v>32</v>
      </c>
      <c r="B36" s="34" t="s">
        <v>49</v>
      </c>
      <c r="C36" s="34" t="s">
        <v>36</v>
      </c>
      <c r="D36" s="35">
        <v>1.2135799999999999E-7</v>
      </c>
      <c r="E36" s="35">
        <v>1.9858977999999999E-2</v>
      </c>
      <c r="F36" s="35">
        <v>3.1338999999999998E-3</v>
      </c>
      <c r="G36" s="35">
        <v>0.97700700100000004</v>
      </c>
      <c r="H36" s="35">
        <f t="shared" si="0"/>
        <v>1.0000000003580001</v>
      </c>
      <c r="I36" s="40" t="s">
        <v>7</v>
      </c>
      <c r="J36" s="37">
        <f t="shared" si="1"/>
        <v>3.580000740299738E-10</v>
      </c>
    </row>
    <row r="37" spans="1:10">
      <c r="A37" s="33">
        <v>33</v>
      </c>
      <c r="B37" s="34" t="s">
        <v>50</v>
      </c>
      <c r="C37" s="34" t="s">
        <v>12</v>
      </c>
      <c r="D37" s="35">
        <v>1.3079000000000001E-143</v>
      </c>
      <c r="E37" s="35">
        <v>0.99999812099999996</v>
      </c>
      <c r="F37" s="35">
        <v>9.9968999999999998E-31</v>
      </c>
      <c r="G37" s="35">
        <v>1.8788600000000001E-6</v>
      </c>
      <c r="H37" s="35">
        <f t="shared" si="0"/>
        <v>0.99999999985999999</v>
      </c>
      <c r="I37" s="36" t="s">
        <v>5</v>
      </c>
      <c r="J37" s="37">
        <f t="shared" si="1"/>
        <v>1.4000001158365194E-10</v>
      </c>
    </row>
    <row r="38" spans="1:10">
      <c r="A38" s="41">
        <v>34</v>
      </c>
      <c r="B38" s="42" t="s">
        <v>51</v>
      </c>
      <c r="C38" s="42" t="s">
        <v>12</v>
      </c>
      <c r="D38" s="43">
        <v>1.3079000000000001E-143</v>
      </c>
      <c r="E38" s="43">
        <v>0.99999812099999996</v>
      </c>
      <c r="F38" s="43">
        <v>9.9968999999999998E-31</v>
      </c>
      <c r="G38" s="43">
        <v>1.8788600000000001E-6</v>
      </c>
      <c r="H38" s="43">
        <f t="shared" si="0"/>
        <v>0.99999999985999999</v>
      </c>
      <c r="I38" s="44" t="s">
        <v>5</v>
      </c>
      <c r="J38" s="45">
        <f t="shared" si="1"/>
        <v>1.4000001158365194E-10</v>
      </c>
    </row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baseColWidth="10" defaultColWidth="8.796875" defaultRowHeight="13.8"/>
  <cols>
    <col min="1" max="1" width="26" customWidth="1"/>
    <col min="2" max="2" width="10" customWidth="1"/>
    <col min="3" max="36" width="14" customWidth="1"/>
  </cols>
  <sheetData>
    <row r="1" spans="1:36">
      <c r="A1" s="20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4" spans="1:36" ht="27.6">
      <c r="A4" s="1"/>
      <c r="B4" s="2" t="s">
        <v>53</v>
      </c>
      <c r="C4" s="2" t="s">
        <v>11</v>
      </c>
      <c r="D4" s="2" t="s">
        <v>13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27</v>
      </c>
      <c r="P4" s="2" t="s">
        <v>28</v>
      </c>
      <c r="Q4" s="2" t="s">
        <v>29</v>
      </c>
      <c r="R4" s="2" t="s">
        <v>31</v>
      </c>
      <c r="S4" s="2" t="s">
        <v>32</v>
      </c>
      <c r="T4" s="2" t="s">
        <v>33</v>
      </c>
      <c r="U4" s="2" t="s">
        <v>34</v>
      </c>
      <c r="V4" s="2" t="s">
        <v>35</v>
      </c>
      <c r="W4" s="2" t="s">
        <v>37</v>
      </c>
      <c r="X4" s="2" t="s">
        <v>38</v>
      </c>
      <c r="Y4" s="2" t="s">
        <v>39</v>
      </c>
      <c r="Z4" s="2" t="s">
        <v>40</v>
      </c>
      <c r="AA4" s="2" t="s">
        <v>41</v>
      </c>
      <c r="AB4" s="2" t="s">
        <v>42</v>
      </c>
      <c r="AC4" s="2" t="s">
        <v>44</v>
      </c>
      <c r="AD4" s="2" t="s">
        <v>45</v>
      </c>
      <c r="AE4" s="2" t="s">
        <v>46</v>
      </c>
      <c r="AF4" s="2" t="s">
        <v>47</v>
      </c>
      <c r="AG4" s="2" t="s">
        <v>48</v>
      </c>
      <c r="AH4" s="2" t="s">
        <v>49</v>
      </c>
      <c r="AI4" s="2" t="s">
        <v>50</v>
      </c>
      <c r="AJ4" s="3" t="s">
        <v>51</v>
      </c>
    </row>
    <row r="5" spans="1:36">
      <c r="A5" s="8" t="s">
        <v>54</v>
      </c>
      <c r="B5" s="9"/>
      <c r="C5" s="12">
        <v>0</v>
      </c>
      <c r="D5" s="12">
        <v>1</v>
      </c>
      <c r="E5" s="12">
        <v>2.0477000000000001E-32</v>
      </c>
      <c r="F5" s="12">
        <v>0.99213828500000001</v>
      </c>
      <c r="G5" s="12">
        <v>0.82721528600000005</v>
      </c>
      <c r="H5" s="12">
        <v>0.82721528600000005</v>
      </c>
      <c r="I5" s="12">
        <v>0.82721528600000005</v>
      </c>
      <c r="J5" s="12">
        <v>0.41461363299999998</v>
      </c>
      <c r="K5" s="12">
        <v>0.41461363299999998</v>
      </c>
      <c r="L5" s="12">
        <v>0.41461363299999998</v>
      </c>
      <c r="M5" s="12">
        <v>0.97854984300000003</v>
      </c>
      <c r="N5" s="12">
        <v>6.8845399999999996E-5</v>
      </c>
      <c r="O5" s="12">
        <v>1.18374E-4</v>
      </c>
      <c r="P5" s="12">
        <v>1.16818E-29</v>
      </c>
      <c r="Q5" s="12">
        <v>1.4018399999999999E-6</v>
      </c>
      <c r="R5" s="12">
        <v>1.16818E-29</v>
      </c>
      <c r="S5" s="12">
        <v>9.4481306000000001E-2</v>
      </c>
      <c r="T5" s="12">
        <v>1.18374E-4</v>
      </c>
      <c r="U5" s="12">
        <v>2.78811E-5</v>
      </c>
      <c r="V5" s="12">
        <v>1.4484000000000001E-5</v>
      </c>
      <c r="W5" s="12">
        <v>1.0798799999999999E-6</v>
      </c>
      <c r="X5" s="12">
        <v>0.97854984300000003</v>
      </c>
      <c r="Y5" s="12">
        <v>0.99213828500000001</v>
      </c>
      <c r="Z5" s="12">
        <v>0.97854984300000003</v>
      </c>
      <c r="AA5" s="12">
        <v>0.97854984300000003</v>
      </c>
      <c r="AB5" s="12">
        <v>0.97854984300000003</v>
      </c>
      <c r="AC5" s="12">
        <v>1.19021E-7</v>
      </c>
      <c r="AD5" s="12">
        <v>2.0477000000000001E-32</v>
      </c>
      <c r="AE5" s="12">
        <v>0.99213828500000001</v>
      </c>
      <c r="AF5" s="12">
        <v>1.0004E-30</v>
      </c>
      <c r="AG5" s="12">
        <v>2.0477000000000001E-32</v>
      </c>
      <c r="AH5" s="12">
        <v>1.2135799999999999E-7</v>
      </c>
      <c r="AI5" s="12">
        <v>1.3079000000000001E-143</v>
      </c>
      <c r="AJ5" s="13">
        <v>1.3079000000000001E-143</v>
      </c>
    </row>
    <row r="6" spans="1:36">
      <c r="A6" s="8" t="s">
        <v>55</v>
      </c>
      <c r="B6" s="9"/>
      <c r="C6" s="12">
        <v>1</v>
      </c>
      <c r="D6" s="12">
        <v>0</v>
      </c>
      <c r="E6" s="12">
        <v>0.99999996199999996</v>
      </c>
      <c r="F6" s="12">
        <v>1.16058E-5</v>
      </c>
      <c r="G6" s="12">
        <v>0.16623952</v>
      </c>
      <c r="H6" s="12">
        <v>0.16623952</v>
      </c>
      <c r="I6" s="12">
        <v>0.16623952</v>
      </c>
      <c r="J6" s="12">
        <v>7.9123049999999997E-3</v>
      </c>
      <c r="K6" s="12">
        <v>7.9123049999999997E-3</v>
      </c>
      <c r="L6" s="12">
        <v>7.9123049999999997E-3</v>
      </c>
      <c r="M6" s="12">
        <v>3.1665499999999997E-5</v>
      </c>
      <c r="N6" s="12">
        <v>1.3705297E-2</v>
      </c>
      <c r="O6" s="12">
        <v>3.0214428000000002E-2</v>
      </c>
      <c r="P6" s="12">
        <v>3.9072546999999999E-2</v>
      </c>
      <c r="Q6" s="12">
        <v>4.4905400000000003E-3</v>
      </c>
      <c r="R6" s="12">
        <v>3.9072546999999999E-2</v>
      </c>
      <c r="S6" s="12">
        <v>3.9242570999999997E-2</v>
      </c>
      <c r="T6" s="12">
        <v>3.0214428000000002E-2</v>
      </c>
      <c r="U6" s="12">
        <v>5.0840800000000003E-5</v>
      </c>
      <c r="V6" s="12">
        <v>0.175559676</v>
      </c>
      <c r="W6" s="12">
        <v>2.8036700000000001E-4</v>
      </c>
      <c r="X6" s="12">
        <v>3.1665499999999997E-5</v>
      </c>
      <c r="Y6" s="12">
        <v>1.16058E-5</v>
      </c>
      <c r="Z6" s="12">
        <v>3.1665599999999997E-5</v>
      </c>
      <c r="AA6" s="12">
        <v>3.1665599999999997E-5</v>
      </c>
      <c r="AB6" s="12">
        <v>3.1665599999999997E-5</v>
      </c>
      <c r="AC6" s="12">
        <v>4.0194117000000001E-2</v>
      </c>
      <c r="AD6" s="12">
        <v>0.99999996199999996</v>
      </c>
      <c r="AE6" s="12">
        <v>1.16058E-5</v>
      </c>
      <c r="AF6" s="12">
        <v>0.99999811999999999</v>
      </c>
      <c r="AG6" s="12">
        <v>0.99999996199999996</v>
      </c>
      <c r="AH6" s="12">
        <v>1.9858977999999999E-2</v>
      </c>
      <c r="AI6" s="12">
        <v>0.99999812099999996</v>
      </c>
      <c r="AJ6" s="13">
        <v>0.99999812099999996</v>
      </c>
    </row>
    <row r="7" spans="1:36">
      <c r="A7" s="8" t="s">
        <v>56</v>
      </c>
      <c r="B7" s="9"/>
      <c r="C7" s="12">
        <v>0</v>
      </c>
      <c r="D7" s="12">
        <v>0</v>
      </c>
      <c r="E7" s="12">
        <v>2.0477000000000001E-32</v>
      </c>
      <c r="F7" s="12">
        <v>7.6372899999999997E-3</v>
      </c>
      <c r="G7" s="12">
        <v>6.3677439999999998E-3</v>
      </c>
      <c r="H7" s="12">
        <v>6.3677439999999998E-3</v>
      </c>
      <c r="I7" s="12">
        <v>6.3677439999999998E-3</v>
      </c>
      <c r="J7" s="12">
        <v>0.38736759399999998</v>
      </c>
      <c r="K7" s="12">
        <v>0.38736759399999998</v>
      </c>
      <c r="L7" s="12">
        <v>0.38736759399999998</v>
      </c>
      <c r="M7" s="12">
        <v>2.0837827E-2</v>
      </c>
      <c r="N7" s="12">
        <v>0.65680055699999995</v>
      </c>
      <c r="O7" s="12">
        <v>0.24925802799999999</v>
      </c>
      <c r="P7" s="12">
        <v>1.9827859999999998E-3</v>
      </c>
      <c r="Q7" s="12">
        <v>0.96334686300000005</v>
      </c>
      <c r="R7" s="12">
        <v>1.9827859999999998E-3</v>
      </c>
      <c r="S7" s="12">
        <v>0.81669950199999997</v>
      </c>
      <c r="T7" s="12">
        <v>0.24925802799999999</v>
      </c>
      <c r="U7" s="12">
        <v>0.99387292900000002</v>
      </c>
      <c r="V7" s="12">
        <v>0.13415301900000001</v>
      </c>
      <c r="W7" s="12">
        <v>0.98375410799999996</v>
      </c>
      <c r="X7" s="12">
        <v>2.0837827E-2</v>
      </c>
      <c r="Y7" s="12">
        <v>7.6372899999999997E-3</v>
      </c>
      <c r="Z7" s="12">
        <v>2.0837827E-2</v>
      </c>
      <c r="AA7" s="12">
        <v>2.0837827E-2</v>
      </c>
      <c r="AB7" s="12">
        <v>2.0837827E-2</v>
      </c>
      <c r="AC7" s="12">
        <v>3.0688820000000002E-3</v>
      </c>
      <c r="AD7" s="12">
        <v>2.0477000000000001E-32</v>
      </c>
      <c r="AE7" s="12">
        <v>7.6372899999999997E-3</v>
      </c>
      <c r="AF7" s="12">
        <v>1.0004E-30</v>
      </c>
      <c r="AG7" s="12">
        <v>2.0477000000000001E-32</v>
      </c>
      <c r="AH7" s="12">
        <v>3.1338999999999998E-3</v>
      </c>
      <c r="AI7" s="12">
        <v>9.9968999999999998E-31</v>
      </c>
      <c r="AJ7" s="13">
        <v>9.9968999999999998E-31</v>
      </c>
    </row>
    <row r="8" spans="1:36">
      <c r="A8" s="10" t="s">
        <v>57</v>
      </c>
      <c r="B8" s="11"/>
      <c r="C8" s="14">
        <v>0</v>
      </c>
      <c r="D8" s="14">
        <v>0</v>
      </c>
      <c r="E8" s="14">
        <v>3.8486200000000002E-8</v>
      </c>
      <c r="F8" s="14">
        <v>2.1282000000000001E-4</v>
      </c>
      <c r="G8" s="14">
        <v>1.7744899999999999E-4</v>
      </c>
      <c r="H8" s="14">
        <v>1.7744899999999999E-4</v>
      </c>
      <c r="I8" s="14">
        <v>1.7744899999999999E-4</v>
      </c>
      <c r="J8" s="14">
        <v>0.190106469</v>
      </c>
      <c r="K8" s="14">
        <v>0.190106469</v>
      </c>
      <c r="L8" s="14">
        <v>0.190106469</v>
      </c>
      <c r="M8" s="14">
        <v>5.8066499999999996E-4</v>
      </c>
      <c r="N8" s="14">
        <v>0.32942529999999998</v>
      </c>
      <c r="O8" s="14">
        <v>0.72040917000000004</v>
      </c>
      <c r="P8" s="14">
        <v>0.95894466700000003</v>
      </c>
      <c r="Q8" s="14">
        <v>3.2161193999999997E-2</v>
      </c>
      <c r="R8" s="14">
        <v>0.95894466700000003</v>
      </c>
      <c r="S8" s="14">
        <v>4.9576621000000001E-2</v>
      </c>
      <c r="T8" s="14">
        <v>0.72040917000000004</v>
      </c>
      <c r="U8" s="14">
        <v>6.0483489999999997E-3</v>
      </c>
      <c r="V8" s="14">
        <v>0.69027282099999998</v>
      </c>
      <c r="W8" s="14">
        <v>1.5964445000000001E-2</v>
      </c>
      <c r="X8" s="14">
        <v>5.8066499999999996E-4</v>
      </c>
      <c r="Y8" s="14">
        <v>2.1282000000000001E-4</v>
      </c>
      <c r="Z8" s="14">
        <v>5.8066499999999996E-4</v>
      </c>
      <c r="AA8" s="14">
        <v>5.8066499999999996E-4</v>
      </c>
      <c r="AB8" s="14">
        <v>5.8066499999999996E-4</v>
      </c>
      <c r="AC8" s="14">
        <v>0.95673688199999996</v>
      </c>
      <c r="AD8" s="14">
        <v>3.8486200000000002E-8</v>
      </c>
      <c r="AE8" s="14">
        <v>2.1282000000000001E-4</v>
      </c>
      <c r="AF8" s="14">
        <v>1.8802400000000001E-6</v>
      </c>
      <c r="AG8" s="14">
        <v>3.8486200000000002E-8</v>
      </c>
      <c r="AH8" s="14">
        <v>0.97700700100000004</v>
      </c>
      <c r="AI8" s="14">
        <v>1.8788600000000001E-6</v>
      </c>
      <c r="AJ8" s="15">
        <v>1.8788600000000001E-6</v>
      </c>
    </row>
  </sheetData>
  <mergeCells count="1">
    <mergeCell ref="A1:A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baseColWidth="10" defaultColWidth="8.796875" defaultRowHeight="13.8"/>
  <cols>
    <col min="1" max="1" width="24" customWidth="1"/>
    <col min="2" max="2" width="26" customWidth="1"/>
    <col min="3" max="3" width="20" customWidth="1"/>
    <col min="5" max="5" width="22" customWidth="1"/>
    <col min="6" max="7" width="18" customWidth="1"/>
  </cols>
  <sheetData>
    <row r="1" spans="1:8">
      <c r="A1" s="20" t="s">
        <v>58</v>
      </c>
      <c r="B1" s="20"/>
      <c r="C1" s="20"/>
      <c r="D1" s="20"/>
      <c r="E1" s="20"/>
      <c r="F1" s="20"/>
      <c r="G1" s="20"/>
      <c r="H1" s="20"/>
    </row>
    <row r="2" spans="1:8">
      <c r="A2" s="20"/>
      <c r="B2" s="20"/>
      <c r="C2" s="20"/>
      <c r="D2" s="20"/>
      <c r="E2" s="20"/>
      <c r="F2" s="20"/>
      <c r="G2" s="20"/>
      <c r="H2" s="20"/>
    </row>
    <row r="4" spans="1:8" ht="27.6">
      <c r="A4" s="1" t="s">
        <v>59</v>
      </c>
      <c r="B4" s="2" t="s">
        <v>60</v>
      </c>
      <c r="C4" s="3" t="s">
        <v>61</v>
      </c>
      <c r="E4" s="1" t="s">
        <v>9</v>
      </c>
      <c r="F4" s="2" t="s">
        <v>62</v>
      </c>
      <c r="G4" s="3" t="s">
        <v>63</v>
      </c>
    </row>
    <row r="5" spans="1:8">
      <c r="A5" s="4" t="s">
        <v>4</v>
      </c>
      <c r="B5" s="5" t="str">
        <f>INDEX(Composiciones!$B$5:$B$38,MATCH(C5,Composiciones!D$5:D$38,0))</f>
        <v>H2-FRESH</v>
      </c>
      <c r="C5" s="16">
        <f>MAX(Composiciones!D5:D38)</f>
        <v>1</v>
      </c>
      <c r="E5" s="4" t="s">
        <v>4</v>
      </c>
      <c r="F5" s="5">
        <f>COUNTIF(Composiciones!$I$5:$I$38,E5)</f>
        <v>15</v>
      </c>
      <c r="G5" s="18">
        <f>F5/COUNTA(Composiciones!$B$5:$B$38)</f>
        <v>0.44117647058823528</v>
      </c>
    </row>
    <row r="6" spans="1:8">
      <c r="A6" s="4" t="s">
        <v>5</v>
      </c>
      <c r="B6" s="5" t="str">
        <f>INDEX(Composiciones!$B$5:$B$38,MATCH(C6,Composiciones!E$5:E$38,0))</f>
        <v>NB Fresh</v>
      </c>
      <c r="C6" s="16">
        <f>MAX(Composiciones!E5:E38)</f>
        <v>1</v>
      </c>
      <c r="E6" s="4" t="s">
        <v>5</v>
      </c>
      <c r="F6" s="5">
        <f>COUNTIF(Composiciones!$I$5:$I$38,E6)</f>
        <v>7</v>
      </c>
      <c r="G6" s="18">
        <f>F6/COUNTA(Composiciones!$B$5:$B$38)</f>
        <v>0.20588235294117646</v>
      </c>
    </row>
    <row r="7" spans="1:8">
      <c r="A7" s="4" t="s">
        <v>6</v>
      </c>
      <c r="B7" s="5" t="str">
        <f>INDEX(Composiciones!$B$5:$B$38,MATCH(C7,Composiciones!F$5:F$38,0))</f>
        <v>H2O-FONDO_1</v>
      </c>
      <c r="C7" s="16">
        <f>MAX(Composiciones!F5:F38)</f>
        <v>0.99387292900000002</v>
      </c>
      <c r="E7" s="4" t="s">
        <v>6</v>
      </c>
      <c r="F7" s="5">
        <f>COUNTIF(Composiciones!$I$5:$I$38,E7)</f>
        <v>5</v>
      </c>
      <c r="G7" s="18">
        <f>F7/COUNTA(Composiciones!$B$5:$B$38)</f>
        <v>0.14705882352941177</v>
      </c>
    </row>
    <row r="8" spans="1:8">
      <c r="A8" s="6" t="s">
        <v>7</v>
      </c>
      <c r="B8" s="7" t="str">
        <f>INDEX(Composiciones!$B$5:$B$38,MATCH(C8,Composiciones!G$5:G$38,0))</f>
        <v>ANILINA</v>
      </c>
      <c r="C8" s="17">
        <f>MAX(Composiciones!G5:G38)</f>
        <v>0.97700700100000004</v>
      </c>
      <c r="E8" s="6" t="s">
        <v>7</v>
      </c>
      <c r="F8" s="7">
        <f>COUNTIF(Composiciones!$I$5:$I$38,E8)</f>
        <v>7</v>
      </c>
      <c r="G8" s="19">
        <f>F8/COUNTA(Composiciones!$B$5:$B$38)</f>
        <v>0.20588235294117646</v>
      </c>
    </row>
    <row r="11" spans="1:8">
      <c r="A11" s="21" t="s">
        <v>64</v>
      </c>
      <c r="B11" s="22"/>
      <c r="C11" s="22"/>
      <c r="D11" s="22"/>
      <c r="E11" s="22"/>
      <c r="F11" s="22"/>
      <c r="G11" s="22"/>
      <c r="H11" s="23"/>
    </row>
    <row r="12" spans="1:8">
      <c r="A12" s="24" t="s">
        <v>65</v>
      </c>
      <c r="B12" s="25"/>
      <c r="C12" s="25"/>
      <c r="D12" s="25"/>
      <c r="E12" s="25"/>
      <c r="F12" s="25"/>
      <c r="G12" s="25"/>
      <c r="H12" s="26"/>
    </row>
    <row r="13" spans="1:8">
      <c r="A13" s="24" t="s">
        <v>66</v>
      </c>
      <c r="B13" s="25"/>
      <c r="C13" s="25"/>
      <c r="D13" s="25"/>
      <c r="E13" s="25"/>
      <c r="F13" s="25"/>
      <c r="G13" s="25"/>
      <c r="H13" s="26"/>
    </row>
    <row r="14" spans="1:8">
      <c r="A14" s="24" t="s">
        <v>67</v>
      </c>
      <c r="B14" s="25"/>
      <c r="C14" s="25"/>
      <c r="D14" s="25"/>
      <c r="E14" s="25"/>
      <c r="F14" s="25"/>
      <c r="G14" s="25"/>
      <c r="H14" s="26"/>
    </row>
    <row r="15" spans="1:8">
      <c r="A15" s="27" t="s">
        <v>68</v>
      </c>
      <c r="B15" s="28"/>
      <c r="C15" s="28"/>
      <c r="D15" s="28"/>
      <c r="E15" s="28"/>
      <c r="F15" s="28"/>
      <c r="G15" s="28"/>
      <c r="H15" s="29"/>
    </row>
  </sheetData>
  <mergeCells count="6">
    <mergeCell ref="A15:H15"/>
    <mergeCell ref="A1:H2"/>
    <mergeCell ref="A11:H11"/>
    <mergeCell ref="A12:H12"/>
    <mergeCell ref="A13:H13"/>
    <mergeCell ref="A14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Composiciones</vt:lpstr>
      <vt:lpstr>Tabla original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Vazquez Perez</cp:lastModifiedBy>
  <dcterms:modified xsi:type="dcterms:W3CDTF">2026-06-24T06:22:13Z</dcterms:modified>
</cp:coreProperties>
</file>