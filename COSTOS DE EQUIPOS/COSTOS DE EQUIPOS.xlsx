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4387f5e39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os con costo" sheetId="1" r:id="R22a074ea0a514f18"/>
    <x:sheet xmlns:r="http://schemas.openxmlformats.org/officeDocument/2006/relationships" name="Resumen" sheetId="2" r:id="R8ca8ebe2d33b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0B3D9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91"/>
      </x:patternFill>
    </x:fill>
    <x:fill>
      <x:patternFill patternType="solid">
        <x:fgColor rgb="FF0F5D73"/>
      </x:patternFill>
    </x:fill>
    <x:fill>
      <x:patternFill patternType="solid">
        <x:fgColor rgb="FFDDEBF7"/>
      </x:patternFill>
    </x:fill>
  </x:fills>
  <x:borders count="22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top/>
      <x:bottom style="double">
        <x:color rgb="FF1F4E78"/>
      </x:bottom>
    </x:border>
    <x:border>
      <x:top/>
      <x:bottom style="double">
        <x:color rgb="FF1F4E78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left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200" fontId="0" fillId="0" borderId="18" xfId="0" applyNumberFormat="1" applyFont="1" applyFill="1" applyBorder="1" applyAlignment="1">
      <x:alignment horizontal="center" vertical="center" wrapText="1"/>
    </x:xf>
    <x:xf numFmtId="200" fontId="0" fillId="0" borderId="19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0" xfId="0" applyNumberFormat="1" applyFont="1" applyFill="1" applyBorder="1"/>
    <x:xf numFmtId="0" fontId="3" fillId="4" borderId="2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1" xfId="0" applyNumberFormat="1" applyFont="1" applyFill="1" applyBorder="1"/>
    <x:xf numFmtId="0" fontId="3" fillId="4" borderId="21" xfId="0" applyNumberFormat="1" applyFont="1" applyFill="1" applyBorder="1" applyAlignment="1">
      <x:alignment horizontal="center"/>
    </x:xf>
    <x:xf numFmtId="200" fontId="3" fillId="4" borderId="20" xfId="0" applyNumberFormat="1" applyFont="1" applyFill="1" applyBorder="1" applyAlignment="1">
      <x:alignment horizontal="center"/>
    </x:xf>
    <x:xf numFmtId="200" fontId="3" fillId="4" borderId="2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06e42e8354d83" /><Relationship Type="http://schemas.openxmlformats.org/officeDocument/2006/relationships/theme" Target="/xl/theme/theme1.xml" Id="R534a4bf6a30c4d41" /><Relationship Type="http://schemas.openxmlformats.org/officeDocument/2006/relationships/sharedStrings" Target="/xl/sharedStrings.xml" Id="R829ad7b8943c4c65" /><Relationship Type="http://schemas.openxmlformats.org/officeDocument/2006/relationships/worksheet" Target="/xl/worksheets/sheet1.xml" Id="R22a074ea0a514f18" /><Relationship Type="http://schemas.openxmlformats.org/officeDocument/2006/relationships/worksheet" Target="/xl/worksheets/sheet2.xml" Id="R8ca8ebe2d33b44d5" /></Relationships>
</file>

<file path=xl/tables/table1.xml><?xml version="1.0" encoding="utf-8"?>
<x:table xmlns:x="http://schemas.openxmlformats.org/spreadsheetml/2006/main" id="1" name="TablaEquiposConCosto" displayName="TablaEquiposConCosto" ref="A4:G24" headerRowCount="1">
  <x:tableColumns count="7">
    <x:tableColumn id="1" name="No."/>
    <x:tableColumn id="2" name="Name"/>
    <x:tableColumn id="3" name="Tipo de equipo"/>
    <x:tableColumn id="4" name="Equipment Cost [USD]"/>
    <x:tableColumn id="5" name="Installed Cost [USD]"/>
    <x:tableColumn id="6" name="Equipment Weight [LBS]"/>
    <x:tableColumn id="7" name="Total Installed Weight [LBS]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bdaf74680a4fe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5" t="str">
        <x:v>Equipos con valores numéricos de costo y peso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28" t="str">
        <x:v>No.</x:v>
      </x:c>
      <x:c r="B4" s="29" t="str">
        <x:v>Name</x:v>
      </x:c>
      <x:c r="C4" s="29" t="str">
        <x:v>Tipo de equipo</x:v>
      </x:c>
      <x:c r="D4" s="29" t="str">
        <x:v>Equipment Cost [USD]</x:v>
      </x:c>
      <x:c r="E4" s="29" t="str">
        <x:v>Installed Cost [USD]</x:v>
      </x:c>
      <x:c r="F4" s="29" t="str">
        <x:v>Equipment Weight [LBS]</x:v>
      </x:c>
      <x:c r="G4" s="30" t="str">
        <x:v>Total Installed Weight [LBS]</x:v>
      </x:c>
    </x:row>
    <x:row r="5">
      <x:c r="A5" s="31" t="n">
        <x:v>1</x:v>
      </x:c>
      <x:c r="B5" s="32" t="str">
        <x:v>E-106</x:v>
      </x:c>
      <x:c r="C5" s="32" t="str">
        <x:v>Intercambiador</x:v>
      </x:c>
      <x:c r="D5" s="50" t="n">
        <x:v>19100</x:v>
      </x:c>
      <x:c r="E5" s="50" t="n">
        <x:v>126600</x:v>
      </x:c>
      <x:c r="F5" s="50" t="n">
        <x:v>1200</x:v>
      </x:c>
      <x:c r="G5" s="51" t="n">
        <x:v>10724</x:v>
      </x:c>
    </x:row>
    <x:row r="6">
      <x:c r="A6" s="31" t="n">
        <x:v>2</x:v>
      </x:c>
      <x:c r="B6" s="32" t="str">
        <x:v>V-102</x:v>
      </x:c>
      <x:c r="C6" s="32" t="str">
        <x:v>Recipiente / separador</x:v>
      </x:c>
      <x:c r="D6" s="50" t="n">
        <x:v>22300</x:v>
      </x:c>
      <x:c r="E6" s="50" t="n">
        <x:v>168600</x:v>
      </x:c>
      <x:c r="F6" s="50" t="n">
        <x:v>2600</x:v>
      </x:c>
      <x:c r="G6" s="51" t="n">
        <x:v>14849</x:v>
      </x:c>
    </x:row>
    <x:row r="7">
      <x:c r="A7" s="31" t="n">
        <x:v>3</x:v>
      </x:c>
      <x:c r="B7" s="32" t="str">
        <x:v>E-101</x:v>
      </x:c>
      <x:c r="C7" s="32" t="str">
        <x:v>Intercambiador</x:v>
      </x:c>
      <x:c r="D7" s="50" t="n">
        <x:v>20300</x:v>
      </x:c>
      <x:c r="E7" s="50" t="n">
        <x:v>114200</x:v>
      </x:c>
      <x:c r="F7" s="50" t="n">
        <x:v>2300</x:v>
      </x:c>
      <x:c r="G7" s="51" t="n">
        <x:v>15131</x:v>
      </x:c>
    </x:row>
    <x:row r="8">
      <x:c r="A8" s="31" t="n">
        <x:v>4</x:v>
      </x:c>
      <x:c r="B8" s="32" t="str">
        <x:v>P-100</x:v>
      </x:c>
      <x:c r="C8" s="32" t="str">
        <x:v>Bomba</x:v>
      </x:c>
      <x:c r="D8" s="50" t="n">
        <x:v>5300</x:v>
      </x:c>
      <x:c r="E8" s="50" t="n">
        <x:v>35500</x:v>
      </x:c>
      <x:c r="F8" s="50" t="n">
        <x:v>170</x:v>
      </x:c>
      <x:c r="G8" s="51" t="n">
        <x:v>2407</x:v>
      </x:c>
    </x:row>
    <x:row r="9">
      <x:c r="A9" s="31" t="n">
        <x:v>5</x:v>
      </x:c>
      <x:c r="B9" s="32" t="str">
        <x:v>E-105</x:v>
      </x:c>
      <x:c r="C9" s="32" t="str">
        <x:v>Intercambiador</x:v>
      </x:c>
      <x:c r="D9" s="50" t="n">
        <x:v>11600</x:v>
      </x:c>
      <x:c r="E9" s="50" t="n">
        <x:v>82100</x:v>
      </x:c>
      <x:c r="F9" s="50" t="n">
        <x:v>520</x:v>
      </x:c>
      <x:c r="G9" s="51" t="n">
        <x:v>6764</x:v>
      </x:c>
    </x:row>
    <x:row r="10">
      <x:c r="A10" s="31" t="n">
        <x:v>6</x:v>
      </x:c>
      <x:c r="B10" s="32" t="str">
        <x:v>E-103</x:v>
      </x:c>
      <x:c r="C10" s="32" t="str">
        <x:v>Intercambiador</x:v>
      </x:c>
      <x:c r="D10" s="50" t="n">
        <x:v>27000</x:v>
      </x:c>
      <x:c r="E10" s="50" t="n">
        <x:v>128800</x:v>
      </x:c>
      <x:c r="F10" s="50" t="n">
        <x:v>3700</x:v>
      </x:c>
      <x:c r="G10" s="51" t="n">
        <x:v>17471</x:v>
      </x:c>
    </x:row>
    <x:row r="11">
      <x:c r="A11" s="31" t="n">
        <x:v>7</x:v>
      </x:c>
      <x:c r="B11" s="32" t="str">
        <x:v>V-100</x:v>
      </x:c>
      <x:c r="C11" s="32" t="str">
        <x:v>Recipiente / separador</x:v>
      </x:c>
      <x:c r="D11" s="50" t="n">
        <x:v>25500</x:v>
      </x:c>
      <x:c r="E11" s="50" t="n">
        <x:v>144000</x:v>
      </x:c>
      <x:c r="F11" s="50" t="n">
        <x:v>3000</x:v>
      </x:c>
      <x:c r="G11" s="51" t="n">
        <x:v>11325</x:v>
      </x:c>
    </x:row>
    <x:row r="12">
      <x:c r="A12" s="31" t="n">
        <x:v>8</x:v>
      </x:c>
      <x:c r="B12" s="32" t="str">
        <x:v>E-100</x:v>
      </x:c>
      <x:c r="C12" s="32" t="str">
        <x:v>Intercambiador</x:v>
      </x:c>
      <x:c r="D12" s="50" t="n">
        <x:v>26900</x:v>
      </x:c>
      <x:c r="E12" s="50" t="n">
        <x:v>138800</x:v>
      </x:c>
      <x:c r="F12" s="50" t="n">
        <x:v>3700</x:v>
      </x:c>
      <x:c r="G12" s="51" t="n">
        <x:v>21814</x:v>
      </x:c>
    </x:row>
    <x:row r="13">
      <x:c r="A13" s="31" t="n">
        <x:v>9</x:v>
      </x:c>
      <x:c r="B13" s="32" t="str">
        <x:v>E-104</x:v>
      </x:c>
      <x:c r="C13" s="32" t="str">
        <x:v>Intercambiador</x:v>
      </x:c>
      <x:c r="D13" s="50" t="n">
        <x:v>11700</x:v>
      </x:c>
      <x:c r="E13" s="50" t="n">
        <x:v>86200</x:v>
      </x:c>
      <x:c r="F13" s="50" t="n">
        <x:v>540</x:v>
      </x:c>
      <x:c r="G13" s="51" t="n">
        <x:v>8226</x:v>
      </x:c>
    </x:row>
    <x:row r="14">
      <x:c r="A14" s="31" t="n">
        <x:v>10</x:v>
      </x:c>
      <x:c r="B14" s="32" t="str">
        <x:v>V-101</x:v>
      </x:c>
      <x:c r="C14" s="32" t="str">
        <x:v>Recipiente / separador</x:v>
      </x:c>
      <x:c r="D14" s="50" t="n">
        <x:v>25500</x:v>
      </x:c>
      <x:c r="E14" s="50" t="n">
        <x:v>144000</x:v>
      </x:c>
      <x:c r="F14" s="50" t="n">
        <x:v>3000</x:v>
      </x:c>
      <x:c r="G14" s="51" t="n">
        <x:v>11325</x:v>
      </x:c>
    </x:row>
    <x:row r="15">
      <x:c r="A15" s="31" t="n">
        <x:v>11</x:v>
      </x:c>
      <x:c r="B15" s="32" t="str">
        <x:v>H-100</x:v>
      </x:c>
      <x:c r="C15" s="32" t="str">
        <x:v>Calentador</x:v>
      </x:c>
      <x:c r="D15" s="50" t="n">
        <x:v>40000</x:v>
      </x:c>
      <x:c r="E15" s="50" t="n">
        <x:v>179100</x:v>
      </x:c>
      <x:c r="F15" s="50" t="n">
        <x:v>6200</x:v>
      </x:c>
      <x:c r="G15" s="51" t="n">
        <x:v>31545</x:v>
      </x:c>
    </x:row>
    <x:row r="16">
      <x:c r="A16" s="31" t="n">
        <x:v>12</x:v>
      </x:c>
      <x:c r="B16" s="32" t="str">
        <x:v>Main Tower_@T-101</x:v>
      </x:c>
      <x:c r="C16" s="32" t="str">
        <x:v>Columna</x:v>
      </x:c>
      <x:c r="D16" s="50" t="n">
        <x:v>48800</x:v>
      </x:c>
      <x:c r="E16" s="50" t="n">
        <x:v>229700</x:v>
      </x:c>
      <x:c r="F16" s="50" t="n">
        <x:v>5100</x:v>
      </x:c>
      <x:c r="G16" s="51" t="n">
        <x:v>19998</x:v>
      </x:c>
    </x:row>
    <x:row r="17">
      <x:c r="A17" s="31" t="n">
        <x:v>13</x:v>
      </x:c>
      <x:c r="B17" s="32" t="str">
        <x:v>Condenser_@T-101-cond acc</x:v>
      </x:c>
      <x:c r="C17" s="32" t="str">
        <x:v>Condensador</x:v>
      </x:c>
      <x:c r="D17" s="50" t="n">
        <x:v>18400</x:v>
      </x:c>
      <x:c r="E17" s="50" t="n">
        <x:v>148400</x:v>
      </x:c>
      <x:c r="F17" s="50" t="n">
        <x:v>2100</x:v>
      </x:c>
      <x:c r="G17" s="51" t="n">
        <x:v>11921</x:v>
      </x:c>
    </x:row>
    <x:row r="18">
      <x:c r="A18" s="31" t="n">
        <x:v>14</x:v>
      </x:c>
      <x:c r="B18" s="32" t="str">
        <x:v>Condenser_@T-101-reflux pump</x:v>
      </x:c>
      <x:c r="C18" s="32" t="str">
        <x:v>Bomba</x:v>
      </x:c>
      <x:c r="D18" s="50" t="n">
        <x:v>6000</x:v>
      </x:c>
      <x:c r="E18" s="50" t="n">
        <x:v>36200</x:v>
      </x:c>
      <x:c r="F18" s="50" t="n">
        <x:v>210</x:v>
      </x:c>
      <x:c r="G18" s="51" t="n">
        <x:v>2447</x:v>
      </x:c>
    </x:row>
    <x:row r="19">
      <x:c r="A19" s="31" t="n">
        <x:v>15</x:v>
      </x:c>
      <x:c r="B19" s="32" t="str">
        <x:v>Reboiler_@T-101-reb</x:v>
      </x:c>
      <x:c r="C19" s="32" t="str">
        <x:v>Rehervidor</x:v>
      </x:c>
      <x:c r="D19" s="50" t="n">
        <x:v>36300</x:v>
      </x:c>
      <x:c r="E19" s="50" t="n">
        <x:v>120900</x:v>
      </x:c>
      <x:c r="F19" s="50" t="n">
        <x:v>4600</x:v>
      </x:c>
      <x:c r="G19" s="51" t="n">
        <x:v>12503</x:v>
      </x:c>
    </x:row>
    <x:row r="20">
      <x:c r="A20" s="31" t="n">
        <x:v>16</x:v>
      </x:c>
      <x:c r="B20" s="32" t="str">
        <x:v>Main Tower_@T-100</x:v>
      </x:c>
      <x:c r="C20" s="32" t="str">
        <x:v>Columna</x:v>
      </x:c>
      <x:c r="D20" s="50" t="n">
        <x:v>1025300</x:v>
      </x:c>
      <x:c r="E20" s="50" t="n">
        <x:v>1721900</x:v>
      </x:c>
      <x:c r="F20" s="50" t="n">
        <x:v>238700</x:v>
      </x:c>
      <x:c r="G20" s="51" t="n">
        <x:v>343675</x:v>
      </x:c>
    </x:row>
    <x:row r="21">
      <x:c r="A21" s="31" t="n">
        <x:v>17</x:v>
      </x:c>
      <x:c r="B21" s="32" t="str">
        <x:v>Condenser_@T-100-cond</x:v>
      </x:c>
      <x:c r="C21" s="32" t="str">
        <x:v>Condensador</x:v>
      </x:c>
      <x:c r="D21" s="50" t="n">
        <x:v>21000</x:v>
      </x:c>
      <x:c r="E21" s="50" t="n">
        <x:v>103700</x:v>
      </x:c>
      <x:c r="F21" s="50" t="n">
        <x:v>2500</x:v>
      </x:c>
      <x:c r="G21" s="51" t="n">
        <x:v>10938</x:v>
      </x:c>
    </x:row>
    <x:row r="22">
      <x:c r="A22" s="31" t="n">
        <x:v>18</x:v>
      </x:c>
      <x:c r="B22" s="32" t="str">
        <x:v>Condenser_@T-100-cond acc</x:v>
      </x:c>
      <x:c r="C22" s="32" t="str">
        <x:v>Condensador</x:v>
      </x:c>
      <x:c r="D22" s="50" t="n">
        <x:v>25000</x:v>
      </x:c>
      <x:c r="E22" s="50" t="n">
        <x:v>156100</x:v>
      </x:c>
      <x:c r="F22" s="50" t="n">
        <x:v>3200</x:v>
      </x:c>
      <x:c r="G22" s="51" t="n">
        <x:v>13116</x:v>
      </x:c>
    </x:row>
    <x:row r="23">
      <x:c r="A23" s="31" t="n">
        <x:v>19</x:v>
      </x:c>
      <x:c r="B23" s="32" t="str">
        <x:v>Condenser_@T-100-reflux pump</x:v>
      </x:c>
      <x:c r="C23" s="32" t="str">
        <x:v>Bomba</x:v>
      </x:c>
      <x:c r="D23" s="50" t="n">
        <x:v>8100</x:v>
      </x:c>
      <x:c r="E23" s="50" t="n">
        <x:v>54700</x:v>
      </x:c>
      <x:c r="F23" s="50" t="n">
        <x:v>350</x:v>
      </x:c>
      <x:c r="G23" s="51" t="n">
        <x:v>4718</x:v>
      </x:c>
    </x:row>
    <x:row r="24">
      <x:c r="A24" s="35" t="n">
        <x:v>20</x:v>
      </x:c>
      <x:c r="B24" s="36" t="str">
        <x:v>Reboiler_@T-100-reb</x:v>
      </x:c>
      <x:c r="C24" s="36" t="str">
        <x:v>Rehervidor</x:v>
      </x:c>
      <x:c r="D24" s="52" t="n">
        <x:v>39700</x:v>
      </x:c>
      <x:c r="E24" s="52" t="n">
        <x:v>150900</x:v>
      </x:c>
      <x:c r="F24" s="52" t="n">
        <x:v>5300</x:v>
      </x:c>
      <x:c r="G24" s="53" t="n">
        <x:v>18370</x:v>
      </x:c>
    </x:row>
    <x:row r="26">
      <x:c r="C26" s="61" t="str">
        <x:v>TOTAL</x:v>
      </x:c>
      <x:c r="D26" s="66" t="n">
        <x:f>SUM(D5:D24)</x:f>
        <x:v>1463800</x:v>
      </x:c>
      <x:c r="E26" s="66" t="n">
        <x:f>SUM(E5:E24)</x:f>
        <x:v>4070400</x:v>
      </x:c>
      <x:c r="F26" s="66" t="n">
        <x:f>SUM(F5:F24)</x:f>
        <x:v>288990</x:v>
      </x:c>
      <x:c r="G26" s="66" t="n">
        <x:f>SUM(G5:G24)</x:f>
        <x:v>589267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4dbdaf74680a4f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4" max="4" width="24" hidden="0" customWidth="1"/>
    <x:col min="5" max="5" width="20" hidden="0" customWidth="1"/>
    <x:col min="6" max="6" width="20" hidden="0" customWidth="1"/>
  </x:cols>
  <x:sheetData>
    <x:row r="1">
      <x:c r="A1" s="5" t="str">
        <x:v>Resumen de equipos filtrados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8" t="str">
        <x:v>Indicador</x:v>
      </x:c>
      <x:c r="B4" s="30" t="str">
        <x:v>Valor</x:v>
      </x:c>
      <x:c r="D4" s="28" t="str">
        <x:v>Tipo de equipo</x:v>
      </x:c>
      <x:c r="E4" s="29" t="str">
        <x:v>Cantidad</x:v>
      </x:c>
      <x:c r="F4" s="30" t="str">
        <x:v>Costo instalado [USD]</x:v>
      </x:c>
    </x:row>
    <x:row r="5">
      <x:c r="A5" s="31" t="str">
        <x:v>Equipos originales</x:v>
      </x:c>
      <x:c r="B5" s="34" t="n">
        <x:v>33</x:v>
      </x:c>
      <x:c r="D5" s="31" t="str">
        <x:v>Bomba</x:v>
      </x:c>
      <x:c r="E5" s="33" t="n">
        <x:f>COUNTIF('Equipos con costo'!$C$5:$C$24,D5)</x:f>
        <x:v>3</x:v>
      </x:c>
      <x:c r="F5" s="51" t="n">
        <x:f>SUMIF('Equipos con costo'!$C$5:$C$24,D5,'Equipos con costo'!$E$5:$E$24)</x:f>
        <x:v>126400</x:v>
      </x:c>
    </x:row>
    <x:row r="6">
      <x:c r="A6" s="31" t="str">
        <x:v>Equipos eliminados por costo/peso cero</x:v>
      </x:c>
      <x:c r="B6" s="34" t="n">
        <x:v>13</x:v>
      </x:c>
      <x:c r="D6" s="31" t="str">
        <x:v>Calentador</x:v>
      </x:c>
      <x:c r="E6" s="33" t="n">
        <x:f>COUNTIF('Equipos con costo'!$C$5:$C$24,D6)</x:f>
        <x:v>1</x:v>
      </x:c>
      <x:c r="F6" s="51" t="n">
        <x:f>SUMIF('Equipos con costo'!$C$5:$C$24,D6,'Equipos con costo'!$E$5:$E$24)</x:f>
        <x:v>179100</x:v>
      </x:c>
    </x:row>
    <x:row r="7">
      <x:c r="A7" s="31" t="str">
        <x:v>Equipos con valores numéricos</x:v>
      </x:c>
      <x:c r="B7" s="34" t="n">
        <x:v>20</x:v>
      </x:c>
      <x:c r="D7" s="31" t="str">
        <x:v>Columna</x:v>
      </x:c>
      <x:c r="E7" s="33" t="n">
        <x:f>COUNTIF('Equipos con costo'!$C$5:$C$24,D7)</x:f>
        <x:v>2</x:v>
      </x:c>
      <x:c r="F7" s="51" t="n">
        <x:f>SUMIF('Equipos con costo'!$C$5:$C$24,D7,'Equipos con costo'!$E$5:$E$24)</x:f>
        <x:v>1951600</x:v>
      </x:c>
    </x:row>
    <x:row r="8">
      <x:c r="A8" s="31" t="str">
        <x:v>Costo total de equipo [USD]</x:v>
      </x:c>
      <x:c r="B8" s="51" t="n">
        <x:f>'Equipos con costo'!D26</x:f>
        <x:v>1463800</x:v>
      </x:c>
      <x:c r="D8" s="31" t="str">
        <x:v>Condensador</x:v>
      </x:c>
      <x:c r="E8" s="33" t="n">
        <x:f>COUNTIF('Equipos con costo'!$C$5:$C$24,D8)</x:f>
        <x:v>3</x:v>
      </x:c>
      <x:c r="F8" s="51" t="n">
        <x:f>SUMIF('Equipos con costo'!$C$5:$C$24,D8,'Equipos con costo'!$E$5:$E$24)</x:f>
        <x:v>408200</x:v>
      </x:c>
    </x:row>
    <x:row r="9">
      <x:c r="A9" s="35" t="str">
        <x:v>Costo total instalado [USD]</x:v>
      </x:c>
      <x:c r="B9" s="53" t="n">
        <x:f>'Equipos con costo'!E26</x:f>
        <x:v>4070400</x:v>
      </x:c>
      <x:c r="D9" s="31" t="str">
        <x:v>Intercambiador</x:v>
      </x:c>
      <x:c r="E9" s="33" t="n">
        <x:f>COUNTIF('Equipos con costo'!$C$5:$C$24,D9)</x:f>
        <x:v>6</x:v>
      </x:c>
      <x:c r="F9" s="51" t="n">
        <x:f>SUMIF('Equipos con costo'!$C$5:$C$24,D9,'Equipos con costo'!$E$5:$E$24)</x:f>
        <x:v>676700</x:v>
      </x:c>
    </x:row>
    <x:row r="10">
      <x:c r="D10" s="31" t="str">
        <x:v>Recipiente / separador</x:v>
      </x:c>
      <x:c r="E10" s="33" t="n">
        <x:f>COUNTIF('Equipos con costo'!$C$5:$C$24,D10)</x:f>
        <x:v>3</x:v>
      </x:c>
      <x:c r="F10" s="51" t="n">
        <x:f>SUMIF('Equipos con costo'!$C$5:$C$24,D10,'Equipos con costo'!$E$5:$E$24)</x:f>
        <x:v>456600</x:v>
      </x:c>
    </x:row>
    <x:row r="11">
      <x:c r="D11" s="35" t="str">
        <x:v>Rehervidor</x:v>
      </x:c>
      <x:c r="E11" s="37" t="n">
        <x:f>COUNTIF('Equipos con costo'!$C$5:$C$24,D11)</x:f>
        <x:v>2</x:v>
      </x:c>
      <x:c r="F11" s="53" t="n">
        <x:f>SUMIF('Equipos con costo'!$C$5:$C$24,D11,'Equipos con costo'!$E$5:$E$24)</x:f>
        <x:v>271800</x:v>
      </x:c>
    </x:row>
  </x:sheetData>
  <x:mergeCells>
    <x:mergeCell ref="A1:F2"/>
  </x:mergeCells>
  <x:pageMargins left="0.7" right="0.7" top="0.75" bottom="0.75" header="0.3" footer="0.3"/>
</x:worksheet>
</file>